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4A98EA1B0408C1/Documents/Antigravity/pistachio/OOTP simulation/"/>
    </mc:Choice>
  </mc:AlternateContent>
  <xr:revisionPtr revIDLastSave="1761" documentId="14_{49E4C8F3-15F6-4523-88D3-E91747D6F96C}" xr6:coauthVersionLast="47" xr6:coauthVersionMax="47" xr10:uidLastSave="{8F36BC77-4D2C-42E3-8E50-E7F4E7C01E69}"/>
  <bookViews>
    <workbookView xWindow="-93" yWindow="-93" windowWidth="25786" windowHeight="13866" firstSheet="1" activeTab="4" xr2:uid="{ECAD1118-A771-408F-9EE5-7B8EF6B068D2}"/>
  </bookViews>
  <sheets>
    <sheet name="Fielding (2)" sheetId="20" r:id="rId1"/>
    <sheet name="Calculator" sheetId="5" r:id="rId2"/>
    <sheet name="Hitters" sheetId="1" r:id="rId3"/>
    <sheet name="Fielding" sheetId="12" r:id="rId4"/>
    <sheet name="Fielding recal" sheetId="22" r:id="rId5"/>
    <sheet name="Pitching" sheetId="21" r:id="rId6"/>
    <sheet name="Sheet4" sheetId="26" r:id="rId7"/>
    <sheet name="Sheet5" sheetId="27" r:id="rId8"/>
    <sheet name="Sheet6" sheetId="28" r:id="rId9"/>
    <sheet name="Sheet7" sheetId="19" r:id="rId10"/>
    <sheet name="Rating Scales" sheetId="2" r:id="rId11"/>
  </sheets>
  <definedNames>
    <definedName name="_xlnm._FilterDatabase" localSheetId="4" hidden="1">'Fielding recal'!$A$3:$P$159</definedName>
    <definedName name="_xlnm._FilterDatabase" localSheetId="5" hidden="1">Pitching!$A$6:$AP$47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2" i="22" l="1"/>
  <c r="B111" i="22"/>
  <c r="B110" i="22"/>
  <c r="L109" i="22"/>
  <c r="M109" i="22"/>
  <c r="N109" i="22"/>
  <c r="P109" i="22" s="1"/>
  <c r="O109" i="22"/>
  <c r="L110" i="22"/>
  <c r="O110" i="22" s="1"/>
  <c r="M110" i="22"/>
  <c r="N110" i="22"/>
  <c r="P110" i="22"/>
  <c r="L111" i="22"/>
  <c r="M111" i="22"/>
  <c r="N111" i="22"/>
  <c r="O111" i="22"/>
  <c r="P111" i="22"/>
  <c r="L112" i="22"/>
  <c r="O112" i="22" s="1"/>
  <c r="M112" i="22"/>
  <c r="N112" i="22"/>
  <c r="P112" i="22"/>
  <c r="I109" i="22"/>
  <c r="I110" i="22"/>
  <c r="I111" i="22"/>
  <c r="I112" i="22"/>
  <c r="B109" i="22"/>
  <c r="B85" i="22"/>
  <c r="L85" i="22"/>
  <c r="M85" i="22"/>
  <c r="N85" i="22"/>
  <c r="O85" i="22"/>
  <c r="P85" i="22"/>
  <c r="I85" i="22"/>
  <c r="B84" i="22"/>
  <c r="B83" i="22"/>
  <c r="L82" i="22"/>
  <c r="M82" i="22"/>
  <c r="N82" i="22"/>
  <c r="O82" i="22"/>
  <c r="P82" i="22"/>
  <c r="L83" i="22"/>
  <c r="M83" i="22"/>
  <c r="N83" i="22"/>
  <c r="P83" i="22" s="1"/>
  <c r="O83" i="22"/>
  <c r="L84" i="22"/>
  <c r="O84" i="22" s="1"/>
  <c r="M84" i="22"/>
  <c r="N84" i="22"/>
  <c r="P84" i="22"/>
  <c r="I82" i="22"/>
  <c r="I83" i="22"/>
  <c r="I84" i="22"/>
  <c r="B82" i="22"/>
  <c r="L56" i="22"/>
  <c r="M56" i="22"/>
  <c r="N56" i="22"/>
  <c r="O56" i="22"/>
  <c r="P56" i="22"/>
  <c r="L57" i="22"/>
  <c r="M57" i="22"/>
  <c r="N57" i="22"/>
  <c r="O57" i="22"/>
  <c r="P57" i="22"/>
  <c r="I56" i="22"/>
  <c r="I57" i="22"/>
  <c r="B56" i="22"/>
  <c r="B57" i="22"/>
  <c r="C13" i="21"/>
  <c r="AF13" i="21"/>
  <c r="AG13" i="21"/>
  <c r="AH13" i="21"/>
  <c r="AI13" i="21"/>
  <c r="AJ13" i="21"/>
  <c r="AK13" i="21"/>
  <c r="AL13" i="21"/>
  <c r="L58" i="22"/>
  <c r="M58" i="22"/>
  <c r="N58" i="22"/>
  <c r="O58" i="22"/>
  <c r="P58" i="22"/>
  <c r="I58" i="22"/>
  <c r="B58" i="22"/>
  <c r="N161" i="22"/>
  <c r="P161" i="22" s="1"/>
  <c r="M161" i="22"/>
  <c r="L161" i="22"/>
  <c r="O161" i="22" s="1"/>
  <c r="I161" i="22"/>
  <c r="B161" i="22"/>
  <c r="N160" i="22"/>
  <c r="P160" i="22" s="1"/>
  <c r="M160" i="22"/>
  <c r="L160" i="22"/>
  <c r="O160" i="22" s="1"/>
  <c r="I160" i="22"/>
  <c r="B160" i="22"/>
  <c r="N163" i="22"/>
  <c r="P163" i="22" s="1"/>
  <c r="M163" i="22"/>
  <c r="L163" i="22"/>
  <c r="O163" i="22" s="1"/>
  <c r="I163" i="22"/>
  <c r="B163" i="22"/>
  <c r="N162" i="22"/>
  <c r="P162" i="22" s="1"/>
  <c r="M162" i="22"/>
  <c r="L162" i="22"/>
  <c r="O162" i="22" s="1"/>
  <c r="I162" i="22"/>
  <c r="B162" i="22"/>
  <c r="L147" i="22"/>
  <c r="M147" i="22"/>
  <c r="N147" i="22"/>
  <c r="P147" i="22" s="1"/>
  <c r="O147" i="22"/>
  <c r="L148" i="22"/>
  <c r="M148" i="22"/>
  <c r="N148" i="22"/>
  <c r="O148" i="22"/>
  <c r="P148" i="22"/>
  <c r="I147" i="22"/>
  <c r="I148" i="22"/>
  <c r="B148" i="22"/>
  <c r="B147" i="22"/>
  <c r="L105" i="22"/>
  <c r="O105" i="22" s="1"/>
  <c r="M105" i="22"/>
  <c r="N105" i="22"/>
  <c r="P105" i="22" s="1"/>
  <c r="L106" i="22"/>
  <c r="M106" i="22"/>
  <c r="N106" i="22"/>
  <c r="O106" i="22"/>
  <c r="P106" i="22"/>
  <c r="L107" i="22"/>
  <c r="O107" i="22" s="1"/>
  <c r="M107" i="22"/>
  <c r="N107" i="22"/>
  <c r="P107" i="22" s="1"/>
  <c r="L108" i="22"/>
  <c r="M108" i="22"/>
  <c r="N108" i="22"/>
  <c r="P108" i="22" s="1"/>
  <c r="O108" i="22"/>
  <c r="I105" i="22"/>
  <c r="I106" i="22"/>
  <c r="I107" i="22"/>
  <c r="I108" i="22"/>
  <c r="B105" i="22"/>
  <c r="B106" i="22"/>
  <c r="B107" i="22"/>
  <c r="B108" i="22"/>
  <c r="L78" i="22"/>
  <c r="O78" i="22" s="1"/>
  <c r="M78" i="22"/>
  <c r="N78" i="22"/>
  <c r="P78" i="22" s="1"/>
  <c r="L79" i="22"/>
  <c r="O79" i="22" s="1"/>
  <c r="M79" i="22"/>
  <c r="N79" i="22"/>
  <c r="P79" i="22"/>
  <c r="L80" i="22"/>
  <c r="O80" i="22" s="1"/>
  <c r="M80" i="22"/>
  <c r="N80" i="22"/>
  <c r="P80" i="22" s="1"/>
  <c r="L81" i="22"/>
  <c r="O81" i="22" s="1"/>
  <c r="M81" i="22"/>
  <c r="N81" i="22"/>
  <c r="P81" i="22" s="1"/>
  <c r="I78" i="22"/>
  <c r="I79" i="22"/>
  <c r="I80" i="22"/>
  <c r="I81" i="22"/>
  <c r="B78" i="22"/>
  <c r="B79" i="22"/>
  <c r="B80" i="22"/>
  <c r="B81" i="22"/>
  <c r="L52" i="22"/>
  <c r="M52" i="22"/>
  <c r="N52" i="22"/>
  <c r="P52" i="22" s="1"/>
  <c r="O52" i="22"/>
  <c r="L53" i="22"/>
  <c r="M53" i="22"/>
  <c r="N53" i="22"/>
  <c r="P53" i="22" s="1"/>
  <c r="O53" i="22"/>
  <c r="L54" i="22"/>
  <c r="O54" i="22" s="1"/>
  <c r="M54" i="22"/>
  <c r="N54" i="22"/>
  <c r="P54" i="22" s="1"/>
  <c r="L55" i="22"/>
  <c r="M55" i="22"/>
  <c r="N55" i="22"/>
  <c r="P55" i="22" s="1"/>
  <c r="O55" i="22"/>
  <c r="I52" i="22"/>
  <c r="I53" i="22"/>
  <c r="I54" i="22"/>
  <c r="I55" i="22"/>
  <c r="B52" i="22"/>
  <c r="B53" i="22"/>
  <c r="B54" i="22"/>
  <c r="B55" i="22"/>
  <c r="L19" i="22"/>
  <c r="O19" i="22" s="1"/>
  <c r="M19" i="22"/>
  <c r="N19" i="22"/>
  <c r="P19" i="22" s="1"/>
  <c r="L20" i="22"/>
  <c r="O20" i="22" s="1"/>
  <c r="M20" i="22"/>
  <c r="N20" i="22"/>
  <c r="P20" i="22" s="1"/>
  <c r="L21" i="22"/>
  <c r="M21" i="22"/>
  <c r="N21" i="22"/>
  <c r="O21" i="22"/>
  <c r="P21" i="22"/>
  <c r="L22" i="22"/>
  <c r="O22" i="22" s="1"/>
  <c r="M22" i="22"/>
  <c r="N22" i="22"/>
  <c r="P22" i="22" s="1"/>
  <c r="I19" i="22"/>
  <c r="I20" i="22"/>
  <c r="I21" i="22"/>
  <c r="I22" i="22"/>
  <c r="B19" i="22"/>
  <c r="B20" i="22"/>
  <c r="B21" i="22"/>
  <c r="B22" i="22"/>
  <c r="L26" i="22"/>
  <c r="O26" i="22" s="1"/>
  <c r="M26" i="22"/>
  <c r="N26" i="22"/>
  <c r="P26" i="22" s="1"/>
  <c r="L27" i="22"/>
  <c r="M27" i="22"/>
  <c r="N27" i="22"/>
  <c r="P27" i="22" s="1"/>
  <c r="O27" i="22"/>
  <c r="L28" i="22"/>
  <c r="O28" i="22" s="1"/>
  <c r="M28" i="22"/>
  <c r="N28" i="22"/>
  <c r="P28" i="22"/>
  <c r="L29" i="22"/>
  <c r="M29" i="22"/>
  <c r="N29" i="22"/>
  <c r="P29" i="22" s="1"/>
  <c r="O29" i="22"/>
  <c r="L30" i="22"/>
  <c r="O30" i="22" s="1"/>
  <c r="M30" i="22"/>
  <c r="N30" i="22"/>
  <c r="P30" i="22" s="1"/>
  <c r="L31" i="22"/>
  <c r="O31" i="22" s="1"/>
  <c r="M31" i="22"/>
  <c r="N31" i="22"/>
  <c r="P31" i="22" s="1"/>
  <c r="L32" i="22"/>
  <c r="O32" i="22" s="1"/>
  <c r="M32" i="22"/>
  <c r="N32" i="22"/>
  <c r="P32" i="22" s="1"/>
  <c r="L33" i="22"/>
  <c r="M33" i="22"/>
  <c r="N33" i="22"/>
  <c r="P33" i="22" s="1"/>
  <c r="O33" i="22"/>
  <c r="I26" i="22"/>
  <c r="I27" i="22"/>
  <c r="I28" i="22"/>
  <c r="I29" i="22"/>
  <c r="I30" i="22"/>
  <c r="I31" i="22"/>
  <c r="I32" i="22"/>
  <c r="I33" i="22"/>
  <c r="B32" i="22"/>
  <c r="B33" i="22"/>
  <c r="B26" i="22"/>
  <c r="B27" i="22"/>
  <c r="B28" i="22"/>
  <c r="B29" i="22"/>
  <c r="B30" i="22"/>
  <c r="B31" i="22"/>
  <c r="L124" i="22"/>
  <c r="O124" i="22" s="1"/>
  <c r="M124" i="22"/>
  <c r="N124" i="22"/>
  <c r="P124" i="22" s="1"/>
  <c r="L126" i="22"/>
  <c r="M126" i="22"/>
  <c r="N126" i="22"/>
  <c r="P126" i="22" s="1"/>
  <c r="O126" i="22"/>
  <c r="L127" i="22"/>
  <c r="M127" i="22"/>
  <c r="N127" i="22"/>
  <c r="O127" i="22"/>
  <c r="P127" i="22"/>
  <c r="L125" i="22"/>
  <c r="O125" i="22" s="1"/>
  <c r="M125" i="22"/>
  <c r="N125" i="22"/>
  <c r="P125" i="22"/>
  <c r="I124" i="22"/>
  <c r="I126" i="22"/>
  <c r="I127" i="22"/>
  <c r="I125" i="22"/>
  <c r="B124" i="22"/>
  <c r="B126" i="22"/>
  <c r="B127" i="22"/>
  <c r="B125" i="22"/>
  <c r="L97" i="22"/>
  <c r="O97" i="22" s="1"/>
  <c r="M97" i="22"/>
  <c r="N97" i="22"/>
  <c r="P97" i="22" s="1"/>
  <c r="L98" i="22"/>
  <c r="O98" i="22" s="1"/>
  <c r="M98" i="22"/>
  <c r="N98" i="22"/>
  <c r="P98" i="22" s="1"/>
  <c r="L99" i="22"/>
  <c r="O99" i="22" s="1"/>
  <c r="M99" i="22"/>
  <c r="N99" i="22"/>
  <c r="P99" i="22" s="1"/>
  <c r="L100" i="22"/>
  <c r="O100" i="22" s="1"/>
  <c r="M100" i="22"/>
  <c r="N100" i="22"/>
  <c r="P100" i="22" s="1"/>
  <c r="L101" i="22"/>
  <c r="O101" i="22" s="1"/>
  <c r="M101" i="22"/>
  <c r="N101" i="22"/>
  <c r="P101" i="22" s="1"/>
  <c r="L102" i="22"/>
  <c r="O102" i="22" s="1"/>
  <c r="M102" i="22"/>
  <c r="N102" i="22"/>
  <c r="P102" i="22" s="1"/>
  <c r="L103" i="22"/>
  <c r="O103" i="22" s="1"/>
  <c r="M103" i="22"/>
  <c r="N103" i="22"/>
  <c r="P103" i="22" s="1"/>
  <c r="L104" i="22"/>
  <c r="O104" i="22" s="1"/>
  <c r="M104" i="22"/>
  <c r="N104" i="22"/>
  <c r="P104" i="22" s="1"/>
  <c r="I97" i="22"/>
  <c r="I98" i="22"/>
  <c r="I99" i="22"/>
  <c r="I100" i="22"/>
  <c r="I101" i="22"/>
  <c r="I102" i="22"/>
  <c r="I103" i="22"/>
  <c r="I104" i="22"/>
  <c r="B98" i="22"/>
  <c r="B99" i="22"/>
  <c r="B100" i="22"/>
  <c r="B101" i="22"/>
  <c r="B102" i="22"/>
  <c r="B103" i="22"/>
  <c r="B104" i="22"/>
  <c r="B97" i="22"/>
  <c r="L44" i="22"/>
  <c r="O44" i="22" s="1"/>
  <c r="M44" i="22"/>
  <c r="N44" i="22"/>
  <c r="P44" i="22" s="1"/>
  <c r="L45" i="22"/>
  <c r="M45" i="22"/>
  <c r="N45" i="22"/>
  <c r="P45" i="22" s="1"/>
  <c r="O45" i="22"/>
  <c r="L46" i="22"/>
  <c r="O46" i="22" s="1"/>
  <c r="M46" i="22"/>
  <c r="N46" i="22"/>
  <c r="P46" i="22" s="1"/>
  <c r="L47" i="22"/>
  <c r="O47" i="22" s="1"/>
  <c r="M47" i="22"/>
  <c r="N47" i="22"/>
  <c r="P47" i="22" s="1"/>
  <c r="L48" i="22"/>
  <c r="O48" i="22" s="1"/>
  <c r="M48" i="22"/>
  <c r="N48" i="22"/>
  <c r="P48" i="22" s="1"/>
  <c r="L49" i="22"/>
  <c r="O49" i="22" s="1"/>
  <c r="M49" i="22"/>
  <c r="N49" i="22"/>
  <c r="P49" i="22" s="1"/>
  <c r="L50" i="22"/>
  <c r="O50" i="22" s="1"/>
  <c r="M50" i="22"/>
  <c r="N50" i="22"/>
  <c r="P50" i="22" s="1"/>
  <c r="L51" i="22"/>
  <c r="M51" i="22"/>
  <c r="N51" i="22"/>
  <c r="P51" i="22" s="1"/>
  <c r="O51" i="22"/>
  <c r="I44" i="22"/>
  <c r="I45" i="22"/>
  <c r="I46" i="22"/>
  <c r="I47" i="22"/>
  <c r="I48" i="22"/>
  <c r="I49" i="22"/>
  <c r="I50" i="22"/>
  <c r="I51" i="22"/>
  <c r="B44" i="22"/>
  <c r="B45" i="22"/>
  <c r="B46" i="22"/>
  <c r="B47" i="22"/>
  <c r="B48" i="22"/>
  <c r="B49" i="22"/>
  <c r="B50" i="22"/>
  <c r="B51" i="22"/>
  <c r="L139" i="22"/>
  <c r="O139" i="22" s="1"/>
  <c r="M139" i="22"/>
  <c r="N139" i="22"/>
  <c r="P139" i="22" s="1"/>
  <c r="L140" i="22"/>
  <c r="O140" i="22" s="1"/>
  <c r="M140" i="22"/>
  <c r="N140" i="22"/>
  <c r="P140" i="22" s="1"/>
  <c r="L141" i="22"/>
  <c r="O141" i="22" s="1"/>
  <c r="M141" i="22"/>
  <c r="N141" i="22"/>
  <c r="P141" i="22" s="1"/>
  <c r="L142" i="22"/>
  <c r="O142" i="22" s="1"/>
  <c r="M142" i="22"/>
  <c r="N142" i="22"/>
  <c r="P142" i="22" s="1"/>
  <c r="L143" i="22"/>
  <c r="O143" i="22" s="1"/>
  <c r="M143" i="22"/>
  <c r="N143" i="22"/>
  <c r="P143" i="22" s="1"/>
  <c r="L144" i="22"/>
  <c r="O144" i="22" s="1"/>
  <c r="M144" i="22"/>
  <c r="N144" i="22"/>
  <c r="P144" i="22" s="1"/>
  <c r="L145" i="22"/>
  <c r="M145" i="22"/>
  <c r="N145" i="22"/>
  <c r="O145" i="22"/>
  <c r="P145" i="22"/>
  <c r="L146" i="22"/>
  <c r="O146" i="22" s="1"/>
  <c r="M146" i="22"/>
  <c r="N146" i="22"/>
  <c r="P146" i="22" s="1"/>
  <c r="I139" i="22"/>
  <c r="I140" i="22"/>
  <c r="I141" i="22"/>
  <c r="I142" i="22"/>
  <c r="I143" i="22"/>
  <c r="I144" i="22"/>
  <c r="I145" i="22"/>
  <c r="I146" i="22"/>
  <c r="L69" i="22"/>
  <c r="O69" i="22" s="1"/>
  <c r="M69" i="22"/>
  <c r="N69" i="22"/>
  <c r="P69" i="22" s="1"/>
  <c r="L70" i="22"/>
  <c r="O70" i="22" s="1"/>
  <c r="M70" i="22"/>
  <c r="N70" i="22"/>
  <c r="P70" i="22" s="1"/>
  <c r="L71" i="22"/>
  <c r="O71" i="22" s="1"/>
  <c r="M71" i="22"/>
  <c r="N71" i="22"/>
  <c r="P71" i="22"/>
  <c r="L72" i="22"/>
  <c r="O72" i="22" s="1"/>
  <c r="M72" i="22"/>
  <c r="N72" i="22"/>
  <c r="P72" i="22" s="1"/>
  <c r="L73" i="22"/>
  <c r="M73" i="22"/>
  <c r="N73" i="22"/>
  <c r="O73" i="22"/>
  <c r="P73" i="22"/>
  <c r="L74" i="22"/>
  <c r="O74" i="22" s="1"/>
  <c r="M74" i="22"/>
  <c r="N74" i="22"/>
  <c r="P74" i="22" s="1"/>
  <c r="L75" i="22"/>
  <c r="O75" i="22" s="1"/>
  <c r="M75" i="22"/>
  <c r="N75" i="22"/>
  <c r="P75" i="22" s="1"/>
  <c r="L76" i="22"/>
  <c r="M76" i="22"/>
  <c r="N76" i="22"/>
  <c r="O76" i="22"/>
  <c r="P76" i="22"/>
  <c r="L77" i="22"/>
  <c r="O77" i="22" s="1"/>
  <c r="M77" i="22"/>
  <c r="N77" i="22"/>
  <c r="P77" i="22" s="1"/>
  <c r="I69" i="22"/>
  <c r="I70" i="22"/>
  <c r="I71" i="22"/>
  <c r="I72" i="22"/>
  <c r="I73" i="22"/>
  <c r="I74" i="22"/>
  <c r="I75" i="22"/>
  <c r="I76" i="22"/>
  <c r="I77" i="22"/>
  <c r="B77" i="22"/>
  <c r="B69" i="22"/>
  <c r="B70" i="22"/>
  <c r="B71" i="22"/>
  <c r="B72" i="22"/>
  <c r="B73" i="22"/>
  <c r="B74" i="22"/>
  <c r="B75" i="22"/>
  <c r="B76" i="22"/>
  <c r="B139" i="22"/>
  <c r="B140" i="22"/>
  <c r="B141" i="22"/>
  <c r="B142" i="22"/>
  <c r="B143" i="22"/>
  <c r="B144" i="22"/>
  <c r="B145" i="22"/>
  <c r="B146" i="22"/>
  <c r="B152" i="22"/>
  <c r="B153" i="22"/>
  <c r="B154" i="22"/>
  <c r="B155" i="22"/>
  <c r="B156" i="22"/>
  <c r="B157" i="22"/>
  <c r="B158" i="22"/>
  <c r="B159" i="22"/>
  <c r="I152" i="22"/>
  <c r="I153" i="22"/>
  <c r="I154" i="22"/>
  <c r="I155" i="22"/>
  <c r="I156" i="22"/>
  <c r="I157" i="22"/>
  <c r="I158" i="22"/>
  <c r="I159" i="22"/>
  <c r="L152" i="22"/>
  <c r="O152" i="22" s="1"/>
  <c r="M152" i="22"/>
  <c r="N152" i="22"/>
  <c r="P152" i="22" s="1"/>
  <c r="L153" i="22"/>
  <c r="O153" i="22" s="1"/>
  <c r="M153" i="22"/>
  <c r="N153" i="22"/>
  <c r="P153" i="22" s="1"/>
  <c r="L154" i="22"/>
  <c r="O154" i="22" s="1"/>
  <c r="M154" i="22"/>
  <c r="N154" i="22"/>
  <c r="P154" i="22" s="1"/>
  <c r="L155" i="22"/>
  <c r="O155" i="22" s="1"/>
  <c r="M155" i="22"/>
  <c r="N155" i="22"/>
  <c r="P155" i="22" s="1"/>
  <c r="L156" i="22"/>
  <c r="O156" i="22" s="1"/>
  <c r="M156" i="22"/>
  <c r="N156" i="22"/>
  <c r="P156" i="22" s="1"/>
  <c r="L157" i="22"/>
  <c r="O157" i="22" s="1"/>
  <c r="M157" i="22"/>
  <c r="N157" i="22"/>
  <c r="P157" i="22" s="1"/>
  <c r="L158" i="22"/>
  <c r="M158" i="22"/>
  <c r="N158" i="22"/>
  <c r="P158" i="22" s="1"/>
  <c r="O158" i="22"/>
  <c r="L159" i="22"/>
  <c r="M159" i="22"/>
  <c r="N159" i="22"/>
  <c r="P159" i="22" s="1"/>
  <c r="O159" i="22"/>
  <c r="L37" i="22"/>
  <c r="O37" i="22" s="1"/>
  <c r="M37" i="22"/>
  <c r="N37" i="22"/>
  <c r="P37" i="22" s="1"/>
  <c r="I37" i="22"/>
  <c r="B37" i="22"/>
  <c r="L131" i="22"/>
  <c r="O131" i="22" s="1"/>
  <c r="M131" i="22"/>
  <c r="N131" i="22"/>
  <c r="P131" i="22" s="1"/>
  <c r="L132" i="22"/>
  <c r="O132" i="22" s="1"/>
  <c r="M132" i="22"/>
  <c r="N132" i="22"/>
  <c r="P132" i="22" s="1"/>
  <c r="L133" i="22"/>
  <c r="O133" i="22" s="1"/>
  <c r="M133" i="22"/>
  <c r="N133" i="22"/>
  <c r="P133" i="22" s="1"/>
  <c r="L134" i="22"/>
  <c r="O134" i="22" s="1"/>
  <c r="M134" i="22"/>
  <c r="N134" i="22"/>
  <c r="P134" i="22" s="1"/>
  <c r="L135" i="22"/>
  <c r="O135" i="22" s="1"/>
  <c r="M135" i="22"/>
  <c r="N135" i="22"/>
  <c r="P135" i="22" s="1"/>
  <c r="L136" i="22"/>
  <c r="O136" i="22" s="1"/>
  <c r="M136" i="22"/>
  <c r="N136" i="22"/>
  <c r="P136" i="22" s="1"/>
  <c r="L137" i="22"/>
  <c r="M137" i="22"/>
  <c r="N137" i="22"/>
  <c r="P137" i="22" s="1"/>
  <c r="O137" i="22"/>
  <c r="L138" i="22"/>
  <c r="O138" i="22" s="1"/>
  <c r="M138" i="22"/>
  <c r="N138" i="22"/>
  <c r="P138" i="22" s="1"/>
  <c r="I131" i="22"/>
  <c r="I132" i="22"/>
  <c r="I133" i="22"/>
  <c r="I134" i="22"/>
  <c r="I135" i="22"/>
  <c r="I136" i="22"/>
  <c r="I137" i="22"/>
  <c r="I138" i="22"/>
  <c r="B131" i="22"/>
  <c r="B132" i="22"/>
  <c r="B133" i="22"/>
  <c r="B134" i="22"/>
  <c r="B135" i="22"/>
  <c r="B136" i="22"/>
  <c r="B137" i="22"/>
  <c r="B138" i="22"/>
  <c r="L11" i="22"/>
  <c r="O11" i="22" s="1"/>
  <c r="M11" i="22"/>
  <c r="N11" i="22"/>
  <c r="P11" i="22" s="1"/>
  <c r="I11" i="22"/>
  <c r="B11" i="22"/>
  <c r="L10" i="22"/>
  <c r="O10" i="22" s="1"/>
  <c r="M10" i="22"/>
  <c r="N10" i="22"/>
  <c r="P10" i="22" s="1"/>
  <c r="L12" i="22"/>
  <c r="O12" i="22" s="1"/>
  <c r="M12" i="22"/>
  <c r="N12" i="22"/>
  <c r="P12" i="22" s="1"/>
  <c r="L13" i="22"/>
  <c r="O13" i="22" s="1"/>
  <c r="M13" i="22"/>
  <c r="N13" i="22"/>
  <c r="P13" i="22" s="1"/>
  <c r="L14" i="22"/>
  <c r="M14" i="22"/>
  <c r="N14" i="22"/>
  <c r="P14" i="22" s="1"/>
  <c r="O14" i="22"/>
  <c r="L15" i="22"/>
  <c r="O15" i="22" s="1"/>
  <c r="M15" i="22"/>
  <c r="N15" i="22"/>
  <c r="P15" i="22" s="1"/>
  <c r="L16" i="22"/>
  <c r="O16" i="22" s="1"/>
  <c r="M16" i="22"/>
  <c r="N16" i="22"/>
  <c r="P16" i="22" s="1"/>
  <c r="L17" i="22"/>
  <c r="O17" i="22" s="1"/>
  <c r="M17" i="22"/>
  <c r="N17" i="22"/>
  <c r="P17" i="22" s="1"/>
  <c r="L18" i="22"/>
  <c r="M18" i="22"/>
  <c r="N18" i="22"/>
  <c r="P18" i="22" s="1"/>
  <c r="O18" i="22"/>
  <c r="I10" i="22"/>
  <c r="I12" i="22"/>
  <c r="I13" i="22"/>
  <c r="I14" i="22"/>
  <c r="I15" i="22"/>
  <c r="I16" i="22"/>
  <c r="I17" i="22"/>
  <c r="I18" i="22"/>
  <c r="B10" i="22"/>
  <c r="B12" i="22"/>
  <c r="B13" i="22"/>
  <c r="B14" i="22"/>
  <c r="B15" i="22"/>
  <c r="B16" i="22"/>
  <c r="B17" i="22"/>
  <c r="B18" i="22"/>
  <c r="B116" i="22"/>
  <c r="B117" i="22"/>
  <c r="B118" i="22"/>
  <c r="B119" i="22"/>
  <c r="B120" i="22"/>
  <c r="B121" i="22"/>
  <c r="B122" i="22"/>
  <c r="B123" i="22"/>
  <c r="L116" i="22"/>
  <c r="O116" i="22" s="1"/>
  <c r="M116" i="22"/>
  <c r="N116" i="22"/>
  <c r="P116" i="22" s="1"/>
  <c r="L117" i="22"/>
  <c r="O117" i="22" s="1"/>
  <c r="M117" i="22"/>
  <c r="N117" i="22"/>
  <c r="P117" i="22" s="1"/>
  <c r="L118" i="22"/>
  <c r="M118" i="22"/>
  <c r="N118" i="22"/>
  <c r="P118" i="22" s="1"/>
  <c r="O118" i="22"/>
  <c r="L119" i="22"/>
  <c r="O119" i="22" s="1"/>
  <c r="M119" i="22"/>
  <c r="N119" i="22"/>
  <c r="P119" i="22" s="1"/>
  <c r="L120" i="22"/>
  <c r="O120" i="22" s="1"/>
  <c r="M120" i="22"/>
  <c r="N120" i="22"/>
  <c r="P120" i="22" s="1"/>
  <c r="L121" i="22"/>
  <c r="O121" i="22" s="1"/>
  <c r="M121" i="22"/>
  <c r="N121" i="22"/>
  <c r="P121" i="22" s="1"/>
  <c r="L122" i="22"/>
  <c r="M122" i="22"/>
  <c r="N122" i="22"/>
  <c r="O122" i="22"/>
  <c r="P122" i="22"/>
  <c r="L123" i="22"/>
  <c r="M123" i="22"/>
  <c r="N123" i="22"/>
  <c r="P123" i="22" s="1"/>
  <c r="O123" i="22"/>
  <c r="I116" i="22"/>
  <c r="I117" i="22"/>
  <c r="I118" i="22"/>
  <c r="I119" i="22"/>
  <c r="I120" i="22"/>
  <c r="I121" i="22"/>
  <c r="I122" i="22"/>
  <c r="I123" i="22"/>
  <c r="L68" i="22"/>
  <c r="O68" i="22" s="1"/>
  <c r="M68" i="22"/>
  <c r="N68" i="22"/>
  <c r="P68" i="22" s="1"/>
  <c r="I68" i="22"/>
  <c r="B68" i="22"/>
  <c r="L62" i="22"/>
  <c r="M62" i="22"/>
  <c r="N62" i="22"/>
  <c r="P62" i="22" s="1"/>
  <c r="O62" i="22"/>
  <c r="L63" i="22"/>
  <c r="O63" i="22" s="1"/>
  <c r="M63" i="22"/>
  <c r="N63" i="22"/>
  <c r="P63" i="22" s="1"/>
  <c r="L64" i="22"/>
  <c r="O64" i="22" s="1"/>
  <c r="M64" i="22"/>
  <c r="N64" i="22"/>
  <c r="P64" i="22" s="1"/>
  <c r="L65" i="22"/>
  <c r="O65" i="22" s="1"/>
  <c r="M65" i="22"/>
  <c r="N65" i="22"/>
  <c r="P65" i="22" s="1"/>
  <c r="L66" i="22"/>
  <c r="O66" i="22" s="1"/>
  <c r="M66" i="22"/>
  <c r="N66" i="22"/>
  <c r="P66" i="22" s="1"/>
  <c r="L67" i="22"/>
  <c r="O67" i="22" s="1"/>
  <c r="M67" i="22"/>
  <c r="N67" i="22"/>
  <c r="P67" i="22" s="1"/>
  <c r="I62" i="22"/>
  <c r="I63" i="22"/>
  <c r="I64" i="22"/>
  <c r="I65" i="22"/>
  <c r="I66" i="22"/>
  <c r="I67" i="22"/>
  <c r="B62" i="22"/>
  <c r="B63" i="22"/>
  <c r="B64" i="22"/>
  <c r="B65" i="22"/>
  <c r="B66" i="22"/>
  <c r="B67" i="22"/>
  <c r="I130" i="22"/>
  <c r="I151" i="22"/>
  <c r="L151" i="22"/>
  <c r="O151" i="22" s="1"/>
  <c r="M151" i="22"/>
  <c r="N151" i="22"/>
  <c r="P151" i="22" s="1"/>
  <c r="L130" i="22"/>
  <c r="O130" i="22" s="1"/>
  <c r="M130" i="22"/>
  <c r="N130" i="22"/>
  <c r="P130" i="22" s="1"/>
  <c r="L115" i="22"/>
  <c r="O115" i="22" s="1"/>
  <c r="M115" i="22"/>
  <c r="N115" i="22"/>
  <c r="P115" i="22" s="1"/>
  <c r="I115" i="22"/>
  <c r="L61" i="22"/>
  <c r="O61" i="22" s="1"/>
  <c r="M61" i="22"/>
  <c r="N61" i="22"/>
  <c r="P61" i="22" s="1"/>
  <c r="I61" i="22"/>
  <c r="B61" i="22"/>
  <c r="B9" i="22"/>
  <c r="B115" i="22"/>
  <c r="B130" i="22"/>
  <c r="B151" i="22"/>
  <c r="I9" i="22"/>
  <c r="L9" i="22"/>
  <c r="M9" i="22"/>
  <c r="N9" i="22"/>
  <c r="P9" i="22" s="1"/>
  <c r="O9" i="22"/>
  <c r="N9" i="21"/>
  <c r="L25" i="22"/>
  <c r="O25" i="22" s="1"/>
  <c r="M25" i="22"/>
  <c r="N25" i="22"/>
  <c r="P25" i="22" s="1"/>
  <c r="I25" i="22"/>
  <c r="B25" i="22"/>
  <c r="L88" i="22"/>
  <c r="O88" i="22" s="1"/>
  <c r="M88" i="22"/>
  <c r="N88" i="22"/>
  <c r="P88" i="22" s="1"/>
  <c r="I88" i="22"/>
  <c r="B88" i="22"/>
  <c r="L36" i="22"/>
  <c r="O36" i="22" s="1"/>
  <c r="M36" i="22"/>
  <c r="N36" i="22"/>
  <c r="P36" i="22" s="1"/>
  <c r="B36" i="22"/>
  <c r="I36" i="22"/>
  <c r="L38" i="22"/>
  <c r="O38" i="22" s="1"/>
  <c r="M38" i="22"/>
  <c r="N38" i="22"/>
  <c r="P38" i="22" s="1"/>
  <c r="L39" i="22"/>
  <c r="O39" i="22" s="1"/>
  <c r="M39" i="22"/>
  <c r="N39" i="22"/>
  <c r="P39" i="22" s="1"/>
  <c r="L40" i="22"/>
  <c r="O40" i="22" s="1"/>
  <c r="M40" i="22"/>
  <c r="N40" i="22"/>
  <c r="P40" i="22" s="1"/>
  <c r="L41" i="22"/>
  <c r="O41" i="22" s="1"/>
  <c r="M41" i="22"/>
  <c r="N41" i="22"/>
  <c r="P41" i="22" s="1"/>
  <c r="L42" i="22"/>
  <c r="O42" i="22" s="1"/>
  <c r="M42" i="22"/>
  <c r="N42" i="22"/>
  <c r="P42" i="22" s="1"/>
  <c r="L43" i="22"/>
  <c r="O43" i="22" s="1"/>
  <c r="M43" i="22"/>
  <c r="N43" i="22"/>
  <c r="P43" i="22" s="1"/>
  <c r="I38" i="22"/>
  <c r="I39" i="22"/>
  <c r="I40" i="22"/>
  <c r="I41" i="22"/>
  <c r="I42" i="22"/>
  <c r="I43" i="22"/>
  <c r="B38" i="22"/>
  <c r="B39" i="22"/>
  <c r="B40" i="22"/>
  <c r="B41" i="22"/>
  <c r="B42" i="22"/>
  <c r="B43" i="22"/>
  <c r="I95" i="22"/>
  <c r="L95" i="22"/>
  <c r="O95" i="22" s="1"/>
  <c r="M95" i="22"/>
  <c r="N95" i="22"/>
  <c r="P95" i="22" s="1"/>
  <c r="B95" i="22"/>
  <c r="L89" i="22"/>
  <c r="L90" i="22"/>
  <c r="L91" i="22"/>
  <c r="L92" i="22"/>
  <c r="O92" i="22" s="1"/>
  <c r="L93" i="22"/>
  <c r="L94" i="22"/>
  <c r="L96" i="22"/>
  <c r="M89" i="22"/>
  <c r="N89" i="22"/>
  <c r="P89" i="22" s="1"/>
  <c r="O89" i="22"/>
  <c r="M90" i="22"/>
  <c r="N90" i="22"/>
  <c r="P90" i="22" s="1"/>
  <c r="O90" i="22"/>
  <c r="M91" i="22"/>
  <c r="N91" i="22"/>
  <c r="P91" i="22" s="1"/>
  <c r="O91" i="22"/>
  <c r="M92" i="22"/>
  <c r="N92" i="22"/>
  <c r="P92" i="22" s="1"/>
  <c r="M93" i="22"/>
  <c r="N93" i="22"/>
  <c r="P93" i="22" s="1"/>
  <c r="O93" i="22"/>
  <c r="M94" i="22"/>
  <c r="N94" i="22"/>
  <c r="P94" i="22" s="1"/>
  <c r="O94" i="22"/>
  <c r="M96" i="22"/>
  <c r="N96" i="22"/>
  <c r="P96" i="22" s="1"/>
  <c r="O96" i="22"/>
  <c r="I89" i="22"/>
  <c r="I90" i="22"/>
  <c r="I91" i="22"/>
  <c r="I92" i="22"/>
  <c r="I93" i="22"/>
  <c r="I94" i="22"/>
  <c r="I96" i="22"/>
  <c r="B89" i="22"/>
  <c r="B90" i="22"/>
  <c r="B91" i="22"/>
  <c r="B92" i="22"/>
  <c r="B93" i="22"/>
  <c r="B94" i="22"/>
  <c r="B96" i="22"/>
  <c r="K23" i="22"/>
  <c r="N23" i="22" s="1"/>
  <c r="J23" i="22"/>
  <c r="H23" i="22"/>
  <c r="N60" i="22"/>
  <c r="M60" i="22"/>
  <c r="L60" i="22"/>
  <c r="I60" i="22"/>
  <c r="B60" i="22"/>
  <c r="N35" i="22"/>
  <c r="M35" i="22"/>
  <c r="L35" i="22"/>
  <c r="I35" i="22"/>
  <c r="B35" i="22"/>
  <c r="N24" i="22"/>
  <c r="M24" i="22"/>
  <c r="L24" i="22"/>
  <c r="I24" i="22"/>
  <c r="B24" i="22"/>
  <c r="N150" i="22"/>
  <c r="M150" i="22"/>
  <c r="L150" i="22"/>
  <c r="I150" i="22"/>
  <c r="B150" i="22"/>
  <c r="N129" i="22"/>
  <c r="P129" i="22" s="1"/>
  <c r="M129" i="22"/>
  <c r="L129" i="22"/>
  <c r="I129" i="22"/>
  <c r="B129" i="22"/>
  <c r="B114" i="22"/>
  <c r="N114" i="22"/>
  <c r="M114" i="22"/>
  <c r="L114" i="22"/>
  <c r="I114" i="22"/>
  <c r="B8" i="22"/>
  <c r="I8" i="22"/>
  <c r="L8" i="22"/>
  <c r="N8" i="22"/>
  <c r="M8" i="22"/>
  <c r="N87" i="22"/>
  <c r="M87" i="22"/>
  <c r="L87" i="22"/>
  <c r="I87" i="22"/>
  <c r="B87" i="22"/>
  <c r="N6" i="22"/>
  <c r="M6" i="22"/>
  <c r="L6" i="22"/>
  <c r="I6" i="22"/>
  <c r="N5" i="22"/>
  <c r="M5" i="22"/>
  <c r="L5" i="22"/>
  <c r="I5" i="22"/>
  <c r="N4" i="22"/>
  <c r="M4" i="22"/>
  <c r="L4" i="22"/>
  <c r="I4" i="22"/>
  <c r="G12" i="2"/>
  <c r="G13" i="2"/>
  <c r="G14" i="2"/>
  <c r="Q8" i="21"/>
  <c r="Q10" i="21"/>
  <c r="Q7" i="21"/>
  <c r="AF37" i="21"/>
  <c r="AG37" i="21"/>
  <c r="AF38" i="21"/>
  <c r="AG38" i="21"/>
  <c r="AF40" i="21"/>
  <c r="AG40" i="21"/>
  <c r="AK40" i="21" s="1"/>
  <c r="AF41" i="21"/>
  <c r="AG41" i="21"/>
  <c r="AF43" i="21"/>
  <c r="AG43" i="21"/>
  <c r="AF44" i="21"/>
  <c r="AG44" i="21"/>
  <c r="AF45" i="21"/>
  <c r="AG45" i="21"/>
  <c r="AH45" i="21" s="1"/>
  <c r="AF46" i="21"/>
  <c r="AG46" i="21"/>
  <c r="AF47" i="21"/>
  <c r="AG47" i="21"/>
  <c r="C38" i="21"/>
  <c r="C40" i="21"/>
  <c r="C41" i="21"/>
  <c r="C43" i="21"/>
  <c r="C44" i="21"/>
  <c r="C46" i="21"/>
  <c r="C47" i="21"/>
  <c r="C37" i="21"/>
  <c r="AF35" i="21"/>
  <c r="AG35" i="21"/>
  <c r="C35" i="21"/>
  <c r="C8" i="21"/>
  <c r="C10" i="21"/>
  <c r="C11" i="21"/>
  <c r="C14" i="21"/>
  <c r="C15" i="21"/>
  <c r="C16" i="21"/>
  <c r="C17" i="21"/>
  <c r="C18" i="21"/>
  <c r="C19" i="21"/>
  <c r="C20" i="21"/>
  <c r="C21" i="21"/>
  <c r="C23" i="21"/>
  <c r="C24" i="21"/>
  <c r="C26" i="21"/>
  <c r="C27" i="21"/>
  <c r="C28" i="21"/>
  <c r="C29" i="21"/>
  <c r="C30" i="21"/>
  <c r="C31" i="21"/>
  <c r="C32" i="21"/>
  <c r="C33" i="21"/>
  <c r="C34" i="21"/>
  <c r="C7" i="21"/>
  <c r="AF26" i="21"/>
  <c r="AG26" i="21"/>
  <c r="AF27" i="21"/>
  <c r="AG27" i="21"/>
  <c r="AK27" i="21" s="1"/>
  <c r="AF28" i="21"/>
  <c r="AG28" i="21"/>
  <c r="AF29" i="21"/>
  <c r="AG29" i="21"/>
  <c r="AK29" i="21" s="1"/>
  <c r="AF30" i="21"/>
  <c r="AG30" i="21"/>
  <c r="AF31" i="21"/>
  <c r="AG31" i="21"/>
  <c r="AF32" i="21"/>
  <c r="AG32" i="21"/>
  <c r="AI32" i="21" s="1"/>
  <c r="AF33" i="21"/>
  <c r="AG33" i="21"/>
  <c r="AF34" i="21"/>
  <c r="AG34" i="21"/>
  <c r="AF24" i="21"/>
  <c r="AG24" i="21"/>
  <c r="AK24" i="21" s="1"/>
  <c r="AF19" i="21"/>
  <c r="AG19" i="21"/>
  <c r="AF20" i="21"/>
  <c r="AG20" i="21"/>
  <c r="AF21" i="21"/>
  <c r="AG21" i="21"/>
  <c r="AF23" i="21"/>
  <c r="AG23" i="21"/>
  <c r="AF14" i="21"/>
  <c r="AG14" i="21"/>
  <c r="AF15" i="21"/>
  <c r="AG15" i="21"/>
  <c r="AF16" i="21"/>
  <c r="AG16" i="21"/>
  <c r="AF17" i="21"/>
  <c r="AG17" i="21"/>
  <c r="AK17" i="21" s="1"/>
  <c r="AF18" i="21"/>
  <c r="AG18" i="21"/>
  <c r="D7" i="2"/>
  <c r="D8" i="2"/>
  <c r="D9" i="2"/>
  <c r="D10" i="2"/>
  <c r="D11" i="2"/>
  <c r="D12" i="2"/>
  <c r="D13" i="2"/>
  <c r="D14" i="2"/>
  <c r="D15" i="2"/>
  <c r="D16" i="2"/>
  <c r="D17" i="2"/>
  <c r="D18" i="2"/>
  <c r="D6" i="2"/>
  <c r="M11" i="21"/>
  <c r="O11" i="21"/>
  <c r="P11" i="21"/>
  <c r="R11" i="21"/>
  <c r="S11" i="21"/>
  <c r="T11" i="21"/>
  <c r="U11" i="21"/>
  <c r="V11" i="21"/>
  <c r="W11" i="21"/>
  <c r="X11" i="21"/>
  <c r="Y11" i="21"/>
  <c r="Z11" i="21"/>
  <c r="AA11" i="21"/>
  <c r="L11" i="21"/>
  <c r="N8" i="21"/>
  <c r="N10" i="21"/>
  <c r="N7" i="21"/>
  <c r="AF8" i="21"/>
  <c r="AG8" i="21"/>
  <c r="AJ8" i="21" s="1"/>
  <c r="AF10" i="21"/>
  <c r="AG10" i="21"/>
  <c r="AK10" i="21" s="1"/>
  <c r="AB8" i="21"/>
  <c r="AC8" i="21"/>
  <c r="AB10" i="21"/>
  <c r="AC10" i="21"/>
  <c r="AG7" i="21"/>
  <c r="AF7" i="21"/>
  <c r="AD1" i="21"/>
  <c r="AC7" i="21"/>
  <c r="AB7" i="21"/>
  <c r="O244" i="20"/>
  <c r="P244" i="20"/>
  <c r="O245" i="20"/>
  <c r="P245" i="20"/>
  <c r="O246" i="20"/>
  <c r="P246" i="20"/>
  <c r="O247" i="20"/>
  <c r="P247" i="20"/>
  <c r="O248" i="20"/>
  <c r="P248" i="20"/>
  <c r="O249" i="20"/>
  <c r="P249" i="20"/>
  <c r="O250" i="20"/>
  <c r="P250" i="20"/>
  <c r="O251" i="20"/>
  <c r="P251" i="20"/>
  <c r="O252" i="20"/>
  <c r="P252" i="20"/>
  <c r="O253" i="20"/>
  <c r="P253" i="20"/>
  <c r="O254" i="20"/>
  <c r="P254" i="20"/>
  <c r="O255" i="20"/>
  <c r="P255" i="20"/>
  <c r="O256" i="20"/>
  <c r="P256" i="20"/>
  <c r="O257" i="20"/>
  <c r="P257" i="20"/>
  <c r="O258" i="20"/>
  <c r="P258" i="20"/>
  <c r="O259" i="20"/>
  <c r="P259" i="20"/>
  <c r="O260" i="20"/>
  <c r="P260" i="20"/>
  <c r="O261" i="20"/>
  <c r="P261" i="20"/>
  <c r="O262" i="20"/>
  <c r="P262" i="20"/>
  <c r="O263" i="20"/>
  <c r="P263" i="20"/>
  <c r="O264" i="20"/>
  <c r="P264" i="20"/>
  <c r="O265" i="20"/>
  <c r="P265" i="20"/>
  <c r="O266" i="20"/>
  <c r="P266" i="20"/>
  <c r="O267" i="20"/>
  <c r="P267" i="20"/>
  <c r="O268" i="20"/>
  <c r="P268" i="20"/>
  <c r="O269" i="20"/>
  <c r="P269" i="20"/>
  <c r="O270" i="20"/>
  <c r="P270" i="20"/>
  <c r="O271" i="20"/>
  <c r="P271" i="20"/>
  <c r="P242" i="20"/>
  <c r="P243" i="20"/>
  <c r="O242" i="20"/>
  <c r="O273" i="20"/>
  <c r="O274" i="20"/>
  <c r="O275" i="20"/>
  <c r="O276" i="20"/>
  <c r="O277" i="20"/>
  <c r="O278" i="20"/>
  <c r="O279" i="20"/>
  <c r="O280" i="20"/>
  <c r="O281" i="20"/>
  <c r="O282" i="20"/>
  <c r="O283" i="20"/>
  <c r="O284" i="20"/>
  <c r="O285" i="20"/>
  <c r="O286" i="20"/>
  <c r="O287" i="20"/>
  <c r="O288" i="20"/>
  <c r="O289" i="20"/>
  <c r="O290" i="20"/>
  <c r="O291" i="20"/>
  <c r="O292" i="20"/>
  <c r="O293" i="20"/>
  <c r="O294" i="20"/>
  <c r="O295" i="20"/>
  <c r="O296" i="20"/>
  <c r="O297" i="20"/>
  <c r="O298" i="20"/>
  <c r="O299" i="20"/>
  <c r="O300" i="20"/>
  <c r="O301" i="20"/>
  <c r="O302" i="20"/>
  <c r="O243" i="20"/>
  <c r="N302" i="20"/>
  <c r="M302" i="20"/>
  <c r="L302" i="20"/>
  <c r="I302" i="20"/>
  <c r="B302" i="20"/>
  <c r="N301" i="20"/>
  <c r="M301" i="20"/>
  <c r="L301" i="20"/>
  <c r="I301" i="20"/>
  <c r="B301" i="20"/>
  <c r="N300" i="20"/>
  <c r="M300" i="20"/>
  <c r="L300" i="20"/>
  <c r="I300" i="20"/>
  <c r="B300" i="20"/>
  <c r="N299" i="20"/>
  <c r="M299" i="20"/>
  <c r="L299" i="20"/>
  <c r="I299" i="20"/>
  <c r="B299" i="20"/>
  <c r="N298" i="20"/>
  <c r="M298" i="20"/>
  <c r="L298" i="20"/>
  <c r="I298" i="20"/>
  <c r="B298" i="20"/>
  <c r="N297" i="20"/>
  <c r="M297" i="20"/>
  <c r="L297" i="20"/>
  <c r="I297" i="20"/>
  <c r="B297" i="20"/>
  <c r="N296" i="20"/>
  <c r="M296" i="20"/>
  <c r="L296" i="20"/>
  <c r="I296" i="20"/>
  <c r="B296" i="20"/>
  <c r="N295" i="20"/>
  <c r="M295" i="20"/>
  <c r="L295" i="20"/>
  <c r="I295" i="20"/>
  <c r="B295" i="20"/>
  <c r="N294" i="20"/>
  <c r="M294" i="20"/>
  <c r="L294" i="20"/>
  <c r="I294" i="20"/>
  <c r="B294" i="20"/>
  <c r="N293" i="20"/>
  <c r="M293" i="20"/>
  <c r="L293" i="20"/>
  <c r="I293" i="20"/>
  <c r="B293" i="20"/>
  <c r="N292" i="20"/>
  <c r="M292" i="20"/>
  <c r="L292" i="20"/>
  <c r="I292" i="20"/>
  <c r="B292" i="20"/>
  <c r="N291" i="20"/>
  <c r="M291" i="20"/>
  <c r="L291" i="20"/>
  <c r="I291" i="20"/>
  <c r="B291" i="20"/>
  <c r="N290" i="20"/>
  <c r="M290" i="20"/>
  <c r="L290" i="20"/>
  <c r="I290" i="20"/>
  <c r="B290" i="20"/>
  <c r="N289" i="20"/>
  <c r="M289" i="20"/>
  <c r="L289" i="20"/>
  <c r="I289" i="20"/>
  <c r="B289" i="20"/>
  <c r="N288" i="20"/>
  <c r="M288" i="20"/>
  <c r="L288" i="20"/>
  <c r="I288" i="20"/>
  <c r="B288" i="20"/>
  <c r="N287" i="20"/>
  <c r="M287" i="20"/>
  <c r="L287" i="20"/>
  <c r="I287" i="20"/>
  <c r="B287" i="20"/>
  <c r="N286" i="20"/>
  <c r="M286" i="20"/>
  <c r="L286" i="20"/>
  <c r="I286" i="20"/>
  <c r="B286" i="20"/>
  <c r="N285" i="20"/>
  <c r="M285" i="20"/>
  <c r="L285" i="20"/>
  <c r="I285" i="20"/>
  <c r="B285" i="20"/>
  <c r="N284" i="20"/>
  <c r="M284" i="20"/>
  <c r="L284" i="20"/>
  <c r="I284" i="20"/>
  <c r="B284" i="20"/>
  <c r="N283" i="20"/>
  <c r="M283" i="20"/>
  <c r="L283" i="20"/>
  <c r="I283" i="20"/>
  <c r="B283" i="20"/>
  <c r="N282" i="20"/>
  <c r="M282" i="20"/>
  <c r="L282" i="20"/>
  <c r="I282" i="20"/>
  <c r="B282" i="20"/>
  <c r="N281" i="20"/>
  <c r="M281" i="20"/>
  <c r="L281" i="20"/>
  <c r="I281" i="20"/>
  <c r="B281" i="20"/>
  <c r="N280" i="20"/>
  <c r="M280" i="20"/>
  <c r="L280" i="20"/>
  <c r="I280" i="20"/>
  <c r="B280" i="20"/>
  <c r="N279" i="20"/>
  <c r="M279" i="20"/>
  <c r="L279" i="20"/>
  <c r="I279" i="20"/>
  <c r="B279" i="20"/>
  <c r="N278" i="20"/>
  <c r="M278" i="20"/>
  <c r="L278" i="20"/>
  <c r="I278" i="20"/>
  <c r="B278" i="20"/>
  <c r="N277" i="20"/>
  <c r="M277" i="20"/>
  <c r="L277" i="20"/>
  <c r="I277" i="20"/>
  <c r="B277" i="20"/>
  <c r="N276" i="20"/>
  <c r="M276" i="20"/>
  <c r="L276" i="20"/>
  <c r="I276" i="20"/>
  <c r="B276" i="20"/>
  <c r="N275" i="20"/>
  <c r="M275" i="20"/>
  <c r="L275" i="20"/>
  <c r="I275" i="20"/>
  <c r="B275" i="20"/>
  <c r="N274" i="20"/>
  <c r="M274" i="20"/>
  <c r="L274" i="20"/>
  <c r="I274" i="20"/>
  <c r="B274" i="20"/>
  <c r="N273" i="20"/>
  <c r="M273" i="20"/>
  <c r="L273" i="20"/>
  <c r="I273" i="20"/>
  <c r="B273" i="20"/>
  <c r="N271" i="20"/>
  <c r="M271" i="20"/>
  <c r="L271" i="20"/>
  <c r="I271" i="20"/>
  <c r="B271" i="20"/>
  <c r="N270" i="20"/>
  <c r="M270" i="20"/>
  <c r="L270" i="20"/>
  <c r="I270" i="20"/>
  <c r="B270" i="20"/>
  <c r="N269" i="20"/>
  <c r="M269" i="20"/>
  <c r="L269" i="20"/>
  <c r="I269" i="20"/>
  <c r="B269" i="20"/>
  <c r="N268" i="20"/>
  <c r="M268" i="20"/>
  <c r="L268" i="20"/>
  <c r="I268" i="20"/>
  <c r="B268" i="20"/>
  <c r="N267" i="20"/>
  <c r="M267" i="20"/>
  <c r="L267" i="20"/>
  <c r="I267" i="20"/>
  <c r="B267" i="20"/>
  <c r="N266" i="20"/>
  <c r="M266" i="20"/>
  <c r="L266" i="20"/>
  <c r="I266" i="20"/>
  <c r="B266" i="20"/>
  <c r="N265" i="20"/>
  <c r="M265" i="20"/>
  <c r="L265" i="20"/>
  <c r="I265" i="20"/>
  <c r="B265" i="20"/>
  <c r="N264" i="20"/>
  <c r="M264" i="20"/>
  <c r="L264" i="20"/>
  <c r="I264" i="20"/>
  <c r="B264" i="20"/>
  <c r="N263" i="20"/>
  <c r="M263" i="20"/>
  <c r="L263" i="20"/>
  <c r="I263" i="20"/>
  <c r="B263" i="20"/>
  <c r="N262" i="20"/>
  <c r="M262" i="20"/>
  <c r="L262" i="20"/>
  <c r="I262" i="20"/>
  <c r="B262" i="20"/>
  <c r="N261" i="20"/>
  <c r="M261" i="20"/>
  <c r="L261" i="20"/>
  <c r="I261" i="20"/>
  <c r="B261" i="20"/>
  <c r="N260" i="20"/>
  <c r="M260" i="20"/>
  <c r="L260" i="20"/>
  <c r="I260" i="20"/>
  <c r="B260" i="20"/>
  <c r="N259" i="20"/>
  <c r="M259" i="20"/>
  <c r="L259" i="20"/>
  <c r="I259" i="20"/>
  <c r="B259" i="20"/>
  <c r="N258" i="20"/>
  <c r="M258" i="20"/>
  <c r="L258" i="20"/>
  <c r="I258" i="20"/>
  <c r="B258" i="20"/>
  <c r="N257" i="20"/>
  <c r="M257" i="20"/>
  <c r="L257" i="20"/>
  <c r="I257" i="20"/>
  <c r="B257" i="20"/>
  <c r="N256" i="20"/>
  <c r="M256" i="20"/>
  <c r="L256" i="20"/>
  <c r="I256" i="20"/>
  <c r="B256" i="20"/>
  <c r="N255" i="20"/>
  <c r="M255" i="20"/>
  <c r="L255" i="20"/>
  <c r="I255" i="20"/>
  <c r="B255" i="20"/>
  <c r="N254" i="20"/>
  <c r="M254" i="20"/>
  <c r="L254" i="20"/>
  <c r="I254" i="20"/>
  <c r="B254" i="20"/>
  <c r="N253" i="20"/>
  <c r="M253" i="20"/>
  <c r="L253" i="20"/>
  <c r="I253" i="20"/>
  <c r="B253" i="20"/>
  <c r="N252" i="20"/>
  <c r="M252" i="20"/>
  <c r="L252" i="20"/>
  <c r="I252" i="20"/>
  <c r="B252" i="20"/>
  <c r="N251" i="20"/>
  <c r="M251" i="20"/>
  <c r="L251" i="20"/>
  <c r="I251" i="20"/>
  <c r="B251" i="20"/>
  <c r="N250" i="20"/>
  <c r="M250" i="20"/>
  <c r="L250" i="20"/>
  <c r="I250" i="20"/>
  <c r="B250" i="20"/>
  <c r="N249" i="20"/>
  <c r="M249" i="20"/>
  <c r="L249" i="20"/>
  <c r="I249" i="20"/>
  <c r="B249" i="20"/>
  <c r="N248" i="20"/>
  <c r="M248" i="20"/>
  <c r="L248" i="20"/>
  <c r="I248" i="20"/>
  <c r="B248" i="20"/>
  <c r="N247" i="20"/>
  <c r="M247" i="20"/>
  <c r="L247" i="20"/>
  <c r="I247" i="20"/>
  <c r="B247" i="20"/>
  <c r="N246" i="20"/>
  <c r="M246" i="20"/>
  <c r="L246" i="20"/>
  <c r="I246" i="20"/>
  <c r="B246" i="20"/>
  <c r="N245" i="20"/>
  <c r="M245" i="20"/>
  <c r="L245" i="20"/>
  <c r="I245" i="20"/>
  <c r="B245" i="20"/>
  <c r="N244" i="20"/>
  <c r="M244" i="20"/>
  <c r="L244" i="20"/>
  <c r="I244" i="20"/>
  <c r="B244" i="20"/>
  <c r="N243" i="20"/>
  <c r="M243" i="20"/>
  <c r="L243" i="20"/>
  <c r="I243" i="20"/>
  <c r="B243" i="20"/>
  <c r="N242" i="20"/>
  <c r="M242" i="20"/>
  <c r="L242" i="20"/>
  <c r="I242" i="20"/>
  <c r="B242" i="20"/>
  <c r="N240" i="20"/>
  <c r="M240" i="20"/>
  <c r="L240" i="20"/>
  <c r="I240" i="20"/>
  <c r="B240" i="20"/>
  <c r="N239" i="20"/>
  <c r="M239" i="20"/>
  <c r="L239" i="20"/>
  <c r="I239" i="20"/>
  <c r="B239" i="20"/>
  <c r="N238" i="20"/>
  <c r="M238" i="20"/>
  <c r="L238" i="20"/>
  <c r="I238" i="20"/>
  <c r="B238" i="20"/>
  <c r="N237" i="20"/>
  <c r="M237" i="20"/>
  <c r="L237" i="20"/>
  <c r="I237" i="20"/>
  <c r="B237" i="20"/>
  <c r="N236" i="20"/>
  <c r="M236" i="20"/>
  <c r="L236" i="20"/>
  <c r="I236" i="20"/>
  <c r="B236" i="20"/>
  <c r="N235" i="20"/>
  <c r="M235" i="20"/>
  <c r="L235" i="20"/>
  <c r="I235" i="20"/>
  <c r="B235" i="20"/>
  <c r="N234" i="20"/>
  <c r="M234" i="20"/>
  <c r="L234" i="20"/>
  <c r="I234" i="20"/>
  <c r="B234" i="20"/>
  <c r="N233" i="20"/>
  <c r="M233" i="20"/>
  <c r="L233" i="20"/>
  <c r="I233" i="20"/>
  <c r="B233" i="20"/>
  <c r="N232" i="20"/>
  <c r="M232" i="20"/>
  <c r="L232" i="20"/>
  <c r="I232" i="20"/>
  <c r="B232" i="20"/>
  <c r="N231" i="20"/>
  <c r="M231" i="20"/>
  <c r="L231" i="20"/>
  <c r="I231" i="20"/>
  <c r="B231" i="20"/>
  <c r="N230" i="20"/>
  <c r="M230" i="20"/>
  <c r="L230" i="20"/>
  <c r="I230" i="20"/>
  <c r="B230" i="20"/>
  <c r="N229" i="20"/>
  <c r="M229" i="20"/>
  <c r="L229" i="20"/>
  <c r="I229" i="20"/>
  <c r="B229" i="20"/>
  <c r="N228" i="20"/>
  <c r="M228" i="20"/>
  <c r="L228" i="20"/>
  <c r="I228" i="20"/>
  <c r="B228" i="20"/>
  <c r="N227" i="20"/>
  <c r="M227" i="20"/>
  <c r="L227" i="20"/>
  <c r="I227" i="20"/>
  <c r="B227" i="20"/>
  <c r="N226" i="20"/>
  <c r="M226" i="20"/>
  <c r="L226" i="20"/>
  <c r="I226" i="20"/>
  <c r="B226" i="20"/>
  <c r="N225" i="20"/>
  <c r="M225" i="20"/>
  <c r="L225" i="20"/>
  <c r="I225" i="20"/>
  <c r="B225" i="20"/>
  <c r="N224" i="20"/>
  <c r="M224" i="20"/>
  <c r="L224" i="20"/>
  <c r="I224" i="20"/>
  <c r="B224" i="20"/>
  <c r="N223" i="20"/>
  <c r="M223" i="20"/>
  <c r="L223" i="20"/>
  <c r="I223" i="20"/>
  <c r="B223" i="20"/>
  <c r="N222" i="20"/>
  <c r="M222" i="20"/>
  <c r="L222" i="20"/>
  <c r="I222" i="20"/>
  <c r="B222" i="20"/>
  <c r="N221" i="20"/>
  <c r="M221" i="20"/>
  <c r="L221" i="20"/>
  <c r="I221" i="20"/>
  <c r="B221" i="20"/>
  <c r="N220" i="20"/>
  <c r="M220" i="20"/>
  <c r="L220" i="20"/>
  <c r="I220" i="20"/>
  <c r="B220" i="20"/>
  <c r="N219" i="20"/>
  <c r="M219" i="20"/>
  <c r="L219" i="20"/>
  <c r="I219" i="20"/>
  <c r="B219" i="20"/>
  <c r="N218" i="20"/>
  <c r="M218" i="20"/>
  <c r="L218" i="20"/>
  <c r="I218" i="20"/>
  <c r="B218" i="20"/>
  <c r="N217" i="20"/>
  <c r="M217" i="20"/>
  <c r="L217" i="20"/>
  <c r="I217" i="20"/>
  <c r="B217" i="20"/>
  <c r="N216" i="20"/>
  <c r="M216" i="20"/>
  <c r="L216" i="20"/>
  <c r="I216" i="20"/>
  <c r="B216" i="20"/>
  <c r="N215" i="20"/>
  <c r="M215" i="20"/>
  <c r="L215" i="20"/>
  <c r="I215" i="20"/>
  <c r="B215" i="20"/>
  <c r="N214" i="20"/>
  <c r="M214" i="20"/>
  <c r="L214" i="20"/>
  <c r="I214" i="20"/>
  <c r="B214" i="20"/>
  <c r="N213" i="20"/>
  <c r="M213" i="20"/>
  <c r="L213" i="20"/>
  <c r="I213" i="20"/>
  <c r="B213" i="20"/>
  <c r="N212" i="20"/>
  <c r="M212" i="20"/>
  <c r="L212" i="20"/>
  <c r="I212" i="20"/>
  <c r="B212" i="20"/>
  <c r="N211" i="20"/>
  <c r="M211" i="20"/>
  <c r="L211" i="20"/>
  <c r="I211" i="20"/>
  <c r="B211" i="20"/>
  <c r="N209" i="20"/>
  <c r="P209" i="20" s="1"/>
  <c r="M209" i="20"/>
  <c r="L209" i="20"/>
  <c r="I209" i="20"/>
  <c r="B209" i="20"/>
  <c r="N208" i="20"/>
  <c r="M208" i="20"/>
  <c r="L208" i="20"/>
  <c r="I208" i="20"/>
  <c r="B208" i="20"/>
  <c r="N207" i="20"/>
  <c r="P207" i="20" s="1"/>
  <c r="M207" i="20"/>
  <c r="L207" i="20"/>
  <c r="I207" i="20"/>
  <c r="B207" i="20"/>
  <c r="N206" i="20"/>
  <c r="P206" i="20" s="1"/>
  <c r="M206" i="20"/>
  <c r="L206" i="20"/>
  <c r="I206" i="20"/>
  <c r="B206" i="20"/>
  <c r="N205" i="20"/>
  <c r="P205" i="20" s="1"/>
  <c r="M205" i="20"/>
  <c r="L205" i="20"/>
  <c r="I205" i="20"/>
  <c r="B205" i="20"/>
  <c r="N204" i="20"/>
  <c r="P204" i="20" s="1"/>
  <c r="M204" i="20"/>
  <c r="L204" i="20"/>
  <c r="I204" i="20"/>
  <c r="B204" i="20"/>
  <c r="N203" i="20"/>
  <c r="P203" i="20" s="1"/>
  <c r="M203" i="20"/>
  <c r="L203" i="20"/>
  <c r="I203" i="20"/>
  <c r="B203" i="20"/>
  <c r="N202" i="20"/>
  <c r="P202" i="20" s="1"/>
  <c r="M202" i="20"/>
  <c r="L202" i="20"/>
  <c r="I202" i="20"/>
  <c r="B202" i="20"/>
  <c r="N201" i="20"/>
  <c r="P201" i="20" s="1"/>
  <c r="M201" i="20"/>
  <c r="L201" i="20"/>
  <c r="I201" i="20"/>
  <c r="B201" i="20"/>
  <c r="N200" i="20"/>
  <c r="P200" i="20" s="1"/>
  <c r="M200" i="20"/>
  <c r="L200" i="20"/>
  <c r="I200" i="20"/>
  <c r="B200" i="20"/>
  <c r="N199" i="20"/>
  <c r="P199" i="20" s="1"/>
  <c r="M199" i="20"/>
  <c r="L199" i="20"/>
  <c r="I199" i="20"/>
  <c r="B199" i="20"/>
  <c r="N198" i="20"/>
  <c r="P198" i="20" s="1"/>
  <c r="M198" i="20"/>
  <c r="L198" i="20"/>
  <c r="I198" i="20"/>
  <c r="B198" i="20"/>
  <c r="N197" i="20"/>
  <c r="P197" i="20" s="1"/>
  <c r="M197" i="20"/>
  <c r="L197" i="20"/>
  <c r="I197" i="20"/>
  <c r="B197" i="20"/>
  <c r="N196" i="20"/>
  <c r="P196" i="20" s="1"/>
  <c r="M196" i="20"/>
  <c r="L196" i="20"/>
  <c r="I196" i="20"/>
  <c r="B196" i="20"/>
  <c r="N195" i="20"/>
  <c r="P195" i="20" s="1"/>
  <c r="M195" i="20"/>
  <c r="L195" i="20"/>
  <c r="I195" i="20"/>
  <c r="B195" i="20"/>
  <c r="N194" i="20"/>
  <c r="P194" i="20" s="1"/>
  <c r="M194" i="20"/>
  <c r="L194" i="20"/>
  <c r="I194" i="20"/>
  <c r="B194" i="20"/>
  <c r="N193" i="20"/>
  <c r="P193" i="20" s="1"/>
  <c r="M193" i="20"/>
  <c r="L193" i="20"/>
  <c r="I193" i="20"/>
  <c r="B193" i="20"/>
  <c r="N192" i="20"/>
  <c r="P192" i="20" s="1"/>
  <c r="M192" i="20"/>
  <c r="L192" i="20"/>
  <c r="I192" i="20"/>
  <c r="B192" i="20"/>
  <c r="N191" i="20"/>
  <c r="P191" i="20" s="1"/>
  <c r="M191" i="20"/>
  <c r="L191" i="20"/>
  <c r="I191" i="20"/>
  <c r="B191" i="20"/>
  <c r="N190" i="20"/>
  <c r="P190" i="20" s="1"/>
  <c r="M190" i="20"/>
  <c r="L190" i="20"/>
  <c r="I190" i="20"/>
  <c r="B190" i="20"/>
  <c r="N189" i="20"/>
  <c r="P189" i="20" s="1"/>
  <c r="M189" i="20"/>
  <c r="L189" i="20"/>
  <c r="I189" i="20"/>
  <c r="B189" i="20"/>
  <c r="N188" i="20"/>
  <c r="P188" i="20" s="1"/>
  <c r="M188" i="20"/>
  <c r="L188" i="20"/>
  <c r="I188" i="20"/>
  <c r="B188" i="20"/>
  <c r="N187" i="20"/>
  <c r="P187" i="20" s="1"/>
  <c r="M187" i="20"/>
  <c r="L187" i="20"/>
  <c r="I187" i="20"/>
  <c r="B187" i="20"/>
  <c r="N186" i="20"/>
  <c r="P186" i="20" s="1"/>
  <c r="M186" i="20"/>
  <c r="L186" i="20"/>
  <c r="I186" i="20"/>
  <c r="B186" i="20"/>
  <c r="N185" i="20"/>
  <c r="P185" i="20" s="1"/>
  <c r="M185" i="20"/>
  <c r="L185" i="20"/>
  <c r="I185" i="20"/>
  <c r="B185" i="20"/>
  <c r="N184" i="20"/>
  <c r="P184" i="20" s="1"/>
  <c r="M184" i="20"/>
  <c r="L184" i="20"/>
  <c r="I184" i="20"/>
  <c r="B184" i="20"/>
  <c r="N183" i="20"/>
  <c r="P183" i="20" s="1"/>
  <c r="M183" i="20"/>
  <c r="L183" i="20"/>
  <c r="I183" i="20"/>
  <c r="B183" i="20"/>
  <c r="N182" i="20"/>
  <c r="P182" i="20" s="1"/>
  <c r="M182" i="20"/>
  <c r="L182" i="20"/>
  <c r="I182" i="20"/>
  <c r="B182" i="20"/>
  <c r="N181" i="20"/>
  <c r="P181" i="20" s="1"/>
  <c r="M181" i="20"/>
  <c r="L181" i="20"/>
  <c r="I181" i="20"/>
  <c r="B181" i="20"/>
  <c r="N180" i="20"/>
  <c r="P180" i="20" s="1"/>
  <c r="M180" i="20"/>
  <c r="L180" i="20"/>
  <c r="I180" i="20"/>
  <c r="B180" i="20"/>
  <c r="N179" i="20"/>
  <c r="P179" i="20" s="1"/>
  <c r="M179" i="20"/>
  <c r="L179" i="20"/>
  <c r="I179" i="20"/>
  <c r="B179" i="20"/>
  <c r="N178" i="20"/>
  <c r="P178" i="20" s="1"/>
  <c r="M178" i="20"/>
  <c r="L178" i="20"/>
  <c r="I178" i="20"/>
  <c r="B178" i="20"/>
  <c r="N177" i="20"/>
  <c r="P177" i="20" s="1"/>
  <c r="M177" i="20"/>
  <c r="L177" i="20"/>
  <c r="I177" i="20"/>
  <c r="B177" i="20"/>
  <c r="N176" i="20"/>
  <c r="P176" i="20" s="1"/>
  <c r="M176" i="20"/>
  <c r="L176" i="20"/>
  <c r="I176" i="20"/>
  <c r="B176" i="20"/>
  <c r="N175" i="20"/>
  <c r="P175" i="20" s="1"/>
  <c r="M175" i="20"/>
  <c r="L175" i="20"/>
  <c r="I175" i="20"/>
  <c r="B175" i="20"/>
  <c r="N174" i="20"/>
  <c r="P174" i="20" s="1"/>
  <c r="M174" i="20"/>
  <c r="L174" i="20"/>
  <c r="I174" i="20"/>
  <c r="B174" i="20"/>
  <c r="N172" i="20"/>
  <c r="P172" i="20" s="1"/>
  <c r="M172" i="20"/>
  <c r="L172" i="20"/>
  <c r="I172" i="20"/>
  <c r="B172" i="20"/>
  <c r="N171" i="20"/>
  <c r="P171" i="20" s="1"/>
  <c r="M171" i="20"/>
  <c r="L171" i="20"/>
  <c r="I171" i="20"/>
  <c r="B171" i="20"/>
  <c r="N170" i="20"/>
  <c r="P170" i="20" s="1"/>
  <c r="M170" i="20"/>
  <c r="L170" i="20"/>
  <c r="I170" i="20"/>
  <c r="B170" i="20"/>
  <c r="N169" i="20"/>
  <c r="P169" i="20" s="1"/>
  <c r="M169" i="20"/>
  <c r="L169" i="20"/>
  <c r="I169" i="20"/>
  <c r="B169" i="20"/>
  <c r="N168" i="20"/>
  <c r="P168" i="20" s="1"/>
  <c r="M168" i="20"/>
  <c r="L168" i="20"/>
  <c r="I168" i="20"/>
  <c r="B168" i="20"/>
  <c r="N167" i="20"/>
  <c r="P167" i="20" s="1"/>
  <c r="M167" i="20"/>
  <c r="L167" i="20"/>
  <c r="I167" i="20"/>
  <c r="B167" i="20"/>
  <c r="N166" i="20"/>
  <c r="P166" i="20" s="1"/>
  <c r="M166" i="20"/>
  <c r="L166" i="20"/>
  <c r="I166" i="20"/>
  <c r="B166" i="20"/>
  <c r="N165" i="20"/>
  <c r="P165" i="20" s="1"/>
  <c r="M165" i="20"/>
  <c r="L165" i="20"/>
  <c r="I165" i="20"/>
  <c r="B165" i="20"/>
  <c r="N164" i="20"/>
  <c r="P164" i="20" s="1"/>
  <c r="M164" i="20"/>
  <c r="L164" i="20"/>
  <c r="I164" i="20"/>
  <c r="B164" i="20"/>
  <c r="N163" i="20"/>
  <c r="P163" i="20" s="1"/>
  <c r="M163" i="20"/>
  <c r="L163" i="20"/>
  <c r="I163" i="20"/>
  <c r="B163" i="20"/>
  <c r="N162" i="20"/>
  <c r="P162" i="20" s="1"/>
  <c r="M162" i="20"/>
  <c r="L162" i="20"/>
  <c r="I162" i="20"/>
  <c r="B162" i="20"/>
  <c r="N161" i="20"/>
  <c r="P161" i="20" s="1"/>
  <c r="M161" i="20"/>
  <c r="L161" i="20"/>
  <c r="I161" i="20"/>
  <c r="B161" i="20"/>
  <c r="N160" i="20"/>
  <c r="M160" i="20"/>
  <c r="L160" i="20"/>
  <c r="I160" i="20"/>
  <c r="B160" i="20"/>
  <c r="N159" i="20"/>
  <c r="M159" i="20"/>
  <c r="L159" i="20"/>
  <c r="I159" i="20"/>
  <c r="B159" i="20"/>
  <c r="N158" i="20"/>
  <c r="M158" i="20"/>
  <c r="L158" i="20"/>
  <c r="I158" i="20"/>
  <c r="B158" i="20"/>
  <c r="N157" i="20"/>
  <c r="M157" i="20"/>
  <c r="L157" i="20"/>
  <c r="I157" i="20"/>
  <c r="B157" i="20"/>
  <c r="N155" i="20"/>
  <c r="M155" i="20"/>
  <c r="L155" i="20"/>
  <c r="I155" i="20"/>
  <c r="B155" i="20"/>
  <c r="N154" i="20"/>
  <c r="M154" i="20"/>
  <c r="L154" i="20"/>
  <c r="I154" i="20"/>
  <c r="B154" i="20"/>
  <c r="N153" i="20"/>
  <c r="M153" i="20"/>
  <c r="L153" i="20"/>
  <c r="I153" i="20"/>
  <c r="B153" i="20"/>
  <c r="N152" i="20"/>
  <c r="M152" i="20"/>
  <c r="L152" i="20"/>
  <c r="I152" i="20"/>
  <c r="B152" i="20"/>
  <c r="N151" i="20"/>
  <c r="M151" i="20"/>
  <c r="L151" i="20"/>
  <c r="I151" i="20"/>
  <c r="B151" i="20"/>
  <c r="N150" i="20"/>
  <c r="M150" i="20"/>
  <c r="L150" i="20"/>
  <c r="I150" i="20"/>
  <c r="B150" i="20"/>
  <c r="N149" i="20"/>
  <c r="M149" i="20"/>
  <c r="L149" i="20"/>
  <c r="I149" i="20"/>
  <c r="B149" i="20"/>
  <c r="N148" i="20"/>
  <c r="M148" i="20"/>
  <c r="L148" i="20"/>
  <c r="I148" i="20"/>
  <c r="B148" i="20"/>
  <c r="N147" i="20"/>
  <c r="M147" i="20"/>
  <c r="L147" i="20"/>
  <c r="I147" i="20"/>
  <c r="B147" i="20"/>
  <c r="N146" i="20"/>
  <c r="M146" i="20"/>
  <c r="L146" i="20"/>
  <c r="I146" i="20"/>
  <c r="B146" i="20"/>
  <c r="N145" i="20"/>
  <c r="M145" i="20"/>
  <c r="L145" i="20"/>
  <c r="I145" i="20"/>
  <c r="B145" i="20"/>
  <c r="N144" i="20"/>
  <c r="M144" i="20"/>
  <c r="L144" i="20"/>
  <c r="I144" i="20"/>
  <c r="B144" i="20"/>
  <c r="N143" i="20"/>
  <c r="M143" i="20"/>
  <c r="L143" i="20"/>
  <c r="I143" i="20"/>
  <c r="B143" i="20"/>
  <c r="N142" i="20"/>
  <c r="M142" i="20"/>
  <c r="L142" i="20"/>
  <c r="I142" i="20"/>
  <c r="B142" i="20"/>
  <c r="N141" i="20"/>
  <c r="M141" i="20"/>
  <c r="L141" i="20"/>
  <c r="I141" i="20"/>
  <c r="B141" i="20"/>
  <c r="N140" i="20"/>
  <c r="M140" i="20"/>
  <c r="L140" i="20"/>
  <c r="I140" i="20"/>
  <c r="B140" i="20"/>
  <c r="N139" i="20"/>
  <c r="M139" i="20"/>
  <c r="L139" i="20"/>
  <c r="I139" i="20"/>
  <c r="B139" i="20"/>
  <c r="N138" i="20"/>
  <c r="M138" i="20"/>
  <c r="L138" i="20"/>
  <c r="I138" i="20"/>
  <c r="B138" i="20"/>
  <c r="N137" i="20"/>
  <c r="M137" i="20"/>
  <c r="L137" i="20"/>
  <c r="I137" i="20"/>
  <c r="B137" i="20"/>
  <c r="N136" i="20"/>
  <c r="M136" i="20"/>
  <c r="L136" i="20"/>
  <c r="I136" i="20"/>
  <c r="B136" i="20"/>
  <c r="N135" i="20"/>
  <c r="M135" i="20"/>
  <c r="L135" i="20"/>
  <c r="I135" i="20"/>
  <c r="B135" i="20"/>
  <c r="N134" i="20"/>
  <c r="M134" i="20"/>
  <c r="L134" i="20"/>
  <c r="I134" i="20"/>
  <c r="B134" i="20"/>
  <c r="N133" i="20"/>
  <c r="M133" i="20"/>
  <c r="L133" i="20"/>
  <c r="I133" i="20"/>
  <c r="B133" i="20"/>
  <c r="N132" i="20"/>
  <c r="M132" i="20"/>
  <c r="L132" i="20"/>
  <c r="I132" i="20"/>
  <c r="B132" i="20"/>
  <c r="N131" i="20"/>
  <c r="M131" i="20"/>
  <c r="L131" i="20"/>
  <c r="I131" i="20"/>
  <c r="B131" i="20"/>
  <c r="N129" i="20"/>
  <c r="M129" i="20"/>
  <c r="L129" i="20"/>
  <c r="I129" i="20"/>
  <c r="B129" i="20"/>
  <c r="N128" i="20"/>
  <c r="M128" i="20"/>
  <c r="L128" i="20"/>
  <c r="I128" i="20"/>
  <c r="B128" i="20"/>
  <c r="N127" i="20"/>
  <c r="M127" i="20"/>
  <c r="L127" i="20"/>
  <c r="I127" i="20"/>
  <c r="B127" i="20"/>
  <c r="N126" i="20"/>
  <c r="M126" i="20"/>
  <c r="L126" i="20"/>
  <c r="I126" i="20"/>
  <c r="B126" i="20"/>
  <c r="N125" i="20"/>
  <c r="M125" i="20"/>
  <c r="L125" i="20"/>
  <c r="I125" i="20"/>
  <c r="B125" i="20"/>
  <c r="N124" i="20"/>
  <c r="M124" i="20"/>
  <c r="L124" i="20"/>
  <c r="I124" i="20"/>
  <c r="B124" i="20"/>
  <c r="N123" i="20"/>
  <c r="M123" i="20"/>
  <c r="L123" i="20"/>
  <c r="I123" i="20"/>
  <c r="B123" i="20"/>
  <c r="N122" i="20"/>
  <c r="M122" i="20"/>
  <c r="L122" i="20"/>
  <c r="I122" i="20"/>
  <c r="B122" i="20"/>
  <c r="N121" i="20"/>
  <c r="M121" i="20"/>
  <c r="L121" i="20"/>
  <c r="I121" i="20"/>
  <c r="B121" i="20"/>
  <c r="N120" i="20"/>
  <c r="M120" i="20"/>
  <c r="L120" i="20"/>
  <c r="I120" i="20"/>
  <c r="B120" i="20"/>
  <c r="N119" i="20"/>
  <c r="M119" i="20"/>
  <c r="L119" i="20"/>
  <c r="I119" i="20"/>
  <c r="B119" i="20"/>
  <c r="N118" i="20"/>
  <c r="M118" i="20"/>
  <c r="L118" i="20"/>
  <c r="I118" i="20"/>
  <c r="B118" i="20"/>
  <c r="N117" i="20"/>
  <c r="M117" i="20"/>
  <c r="L117" i="20"/>
  <c r="I117" i="20"/>
  <c r="B117" i="20"/>
  <c r="N116" i="20"/>
  <c r="M116" i="20"/>
  <c r="L116" i="20"/>
  <c r="I116" i="20"/>
  <c r="B116" i="20"/>
  <c r="N115" i="20"/>
  <c r="M115" i="20"/>
  <c r="L115" i="20"/>
  <c r="I115" i="20"/>
  <c r="B115" i="20"/>
  <c r="N114" i="20"/>
  <c r="M114" i="20"/>
  <c r="L114" i="20"/>
  <c r="I114" i="20"/>
  <c r="B114" i="20"/>
  <c r="N113" i="20"/>
  <c r="M113" i="20"/>
  <c r="L113" i="20"/>
  <c r="I113" i="20"/>
  <c r="B113" i="20"/>
  <c r="N112" i="20"/>
  <c r="M112" i="20"/>
  <c r="L112" i="20"/>
  <c r="I112" i="20"/>
  <c r="B112" i="20"/>
  <c r="N111" i="20"/>
  <c r="M111" i="20"/>
  <c r="L111" i="20"/>
  <c r="I111" i="20"/>
  <c r="B111" i="20"/>
  <c r="N110" i="20"/>
  <c r="M110" i="20"/>
  <c r="L110" i="20"/>
  <c r="I110" i="20"/>
  <c r="B110" i="20"/>
  <c r="N109" i="20"/>
  <c r="M109" i="20"/>
  <c r="L109" i="20"/>
  <c r="I109" i="20"/>
  <c r="B109" i="20"/>
  <c r="N108" i="20"/>
  <c r="M108" i="20"/>
  <c r="L108" i="20"/>
  <c r="I108" i="20"/>
  <c r="B108" i="20"/>
  <c r="N107" i="20"/>
  <c r="M107" i="20"/>
  <c r="L107" i="20"/>
  <c r="I107" i="20"/>
  <c r="B107" i="20"/>
  <c r="N106" i="20"/>
  <c r="M106" i="20"/>
  <c r="L106" i="20"/>
  <c r="I106" i="20"/>
  <c r="B106" i="20"/>
  <c r="N105" i="20"/>
  <c r="M105" i="20"/>
  <c r="L105" i="20"/>
  <c r="I105" i="20"/>
  <c r="B105" i="20"/>
  <c r="N104" i="20"/>
  <c r="M104" i="20"/>
  <c r="L104" i="20"/>
  <c r="I104" i="20"/>
  <c r="B104" i="20"/>
  <c r="N103" i="20"/>
  <c r="M103" i="20"/>
  <c r="L103" i="20"/>
  <c r="I103" i="20"/>
  <c r="B103" i="20"/>
  <c r="N102" i="20"/>
  <c r="M102" i="20"/>
  <c r="L102" i="20"/>
  <c r="I102" i="20"/>
  <c r="B102" i="20"/>
  <c r="N101" i="20"/>
  <c r="M101" i="20"/>
  <c r="L101" i="20"/>
  <c r="I101" i="20"/>
  <c r="B101" i="20"/>
  <c r="N100" i="20"/>
  <c r="M100" i="20"/>
  <c r="L100" i="20"/>
  <c r="I100" i="20"/>
  <c r="B100" i="20"/>
  <c r="N99" i="20"/>
  <c r="M99" i="20"/>
  <c r="L99" i="20"/>
  <c r="I99" i="20"/>
  <c r="B99" i="20"/>
  <c r="N98" i="20"/>
  <c r="M98" i="20"/>
  <c r="L98" i="20"/>
  <c r="I98" i="20"/>
  <c r="B98" i="20"/>
  <c r="N97" i="20"/>
  <c r="M97" i="20"/>
  <c r="L97" i="20"/>
  <c r="I97" i="20"/>
  <c r="B97" i="20"/>
  <c r="N96" i="20"/>
  <c r="M96" i="20"/>
  <c r="L96" i="20"/>
  <c r="I96" i="20"/>
  <c r="B96" i="20"/>
  <c r="N95" i="20"/>
  <c r="M95" i="20"/>
  <c r="L95" i="20"/>
  <c r="I95" i="20"/>
  <c r="B95" i="20"/>
  <c r="N94" i="20"/>
  <c r="M94" i="20"/>
  <c r="L94" i="20"/>
  <c r="I94" i="20"/>
  <c r="B94" i="20"/>
  <c r="N93" i="20"/>
  <c r="M93" i="20"/>
  <c r="L93" i="20"/>
  <c r="I93" i="20"/>
  <c r="B93" i="20"/>
  <c r="N92" i="20"/>
  <c r="M92" i="20"/>
  <c r="L92" i="20"/>
  <c r="I92" i="20"/>
  <c r="B92" i="20"/>
  <c r="N91" i="20"/>
  <c r="M91" i="20"/>
  <c r="L91" i="20"/>
  <c r="I91" i="20"/>
  <c r="B91" i="20"/>
  <c r="N90" i="20"/>
  <c r="M90" i="20"/>
  <c r="L90" i="20"/>
  <c r="I90" i="20"/>
  <c r="B90" i="20"/>
  <c r="N89" i="20"/>
  <c r="M89" i="20"/>
  <c r="L89" i="20"/>
  <c r="I89" i="20"/>
  <c r="B89" i="20"/>
  <c r="N88" i="20"/>
  <c r="M88" i="20"/>
  <c r="L88" i="20"/>
  <c r="I88" i="20"/>
  <c r="B88" i="20"/>
  <c r="N87" i="20"/>
  <c r="M87" i="20"/>
  <c r="L87" i="20"/>
  <c r="I87" i="20"/>
  <c r="B87" i="20"/>
  <c r="N86" i="20"/>
  <c r="M86" i="20"/>
  <c r="L86" i="20"/>
  <c r="I86" i="20"/>
  <c r="B86" i="20"/>
  <c r="N84" i="20"/>
  <c r="M84" i="20"/>
  <c r="L84" i="20"/>
  <c r="I84" i="20"/>
  <c r="B84" i="20"/>
  <c r="N83" i="20"/>
  <c r="M83" i="20"/>
  <c r="L83" i="20"/>
  <c r="I83" i="20"/>
  <c r="B83" i="20"/>
  <c r="N82" i="20"/>
  <c r="M82" i="20"/>
  <c r="L82" i="20"/>
  <c r="I82" i="20"/>
  <c r="B82" i="20"/>
  <c r="N81" i="20"/>
  <c r="M81" i="20"/>
  <c r="L81" i="20"/>
  <c r="I81" i="20"/>
  <c r="B81" i="20"/>
  <c r="N80" i="20"/>
  <c r="M80" i="20"/>
  <c r="L80" i="20"/>
  <c r="I80" i="20"/>
  <c r="B80" i="20"/>
  <c r="N79" i="20"/>
  <c r="M79" i="20"/>
  <c r="L79" i="20"/>
  <c r="I79" i="20"/>
  <c r="B79" i="20"/>
  <c r="N78" i="20"/>
  <c r="M78" i="20"/>
  <c r="L78" i="20"/>
  <c r="I78" i="20"/>
  <c r="B78" i="20"/>
  <c r="N77" i="20"/>
  <c r="M77" i="20"/>
  <c r="L77" i="20"/>
  <c r="I77" i="20"/>
  <c r="B77" i="20"/>
  <c r="N76" i="20"/>
  <c r="M76" i="20"/>
  <c r="L76" i="20"/>
  <c r="I76" i="20"/>
  <c r="B76" i="20"/>
  <c r="N75" i="20"/>
  <c r="M75" i="20"/>
  <c r="L75" i="20"/>
  <c r="I75" i="20"/>
  <c r="B75" i="20"/>
  <c r="N74" i="20"/>
  <c r="M74" i="20"/>
  <c r="L74" i="20"/>
  <c r="I74" i="20"/>
  <c r="B74" i="20"/>
  <c r="N73" i="20"/>
  <c r="M73" i="20"/>
  <c r="L73" i="20"/>
  <c r="I73" i="20"/>
  <c r="B73" i="20"/>
  <c r="N71" i="20"/>
  <c r="M71" i="20"/>
  <c r="L71" i="20"/>
  <c r="I71" i="20"/>
  <c r="B71" i="20"/>
  <c r="N70" i="20"/>
  <c r="M70" i="20"/>
  <c r="L70" i="20"/>
  <c r="I70" i="20"/>
  <c r="B70" i="20"/>
  <c r="N69" i="20"/>
  <c r="M69" i="20"/>
  <c r="L69" i="20"/>
  <c r="I69" i="20"/>
  <c r="B69" i="20"/>
  <c r="N68" i="20"/>
  <c r="M68" i="20"/>
  <c r="L68" i="20"/>
  <c r="I68" i="20"/>
  <c r="B68" i="20"/>
  <c r="N67" i="20"/>
  <c r="M67" i="20"/>
  <c r="L67" i="20"/>
  <c r="I67" i="20"/>
  <c r="B67" i="20"/>
  <c r="N66" i="20"/>
  <c r="M66" i="20"/>
  <c r="L66" i="20"/>
  <c r="I66" i="20"/>
  <c r="B66" i="20"/>
  <c r="N65" i="20"/>
  <c r="M65" i="20"/>
  <c r="L65" i="20"/>
  <c r="I65" i="20"/>
  <c r="B65" i="20"/>
  <c r="N64" i="20"/>
  <c r="M64" i="20"/>
  <c r="L64" i="20"/>
  <c r="I64" i="20"/>
  <c r="B64" i="20"/>
  <c r="N63" i="20"/>
  <c r="M63" i="20"/>
  <c r="L63" i="20"/>
  <c r="I63" i="20"/>
  <c r="B63" i="20"/>
  <c r="N62" i="20"/>
  <c r="M62" i="20"/>
  <c r="L62" i="20"/>
  <c r="I62" i="20"/>
  <c r="B62" i="20"/>
  <c r="N61" i="20"/>
  <c r="M61" i="20"/>
  <c r="L61" i="20"/>
  <c r="I61" i="20"/>
  <c r="B61" i="20"/>
  <c r="N60" i="20"/>
  <c r="M60" i="20"/>
  <c r="L60" i="20"/>
  <c r="I60" i="20"/>
  <c r="B60" i="20"/>
  <c r="N59" i="20"/>
  <c r="M59" i="20"/>
  <c r="L59" i="20"/>
  <c r="I59" i="20"/>
  <c r="B59" i="20"/>
  <c r="N58" i="20"/>
  <c r="M58" i="20"/>
  <c r="L58" i="20"/>
  <c r="I58" i="20"/>
  <c r="B58" i="20"/>
  <c r="N57" i="20"/>
  <c r="M57" i="20"/>
  <c r="L57" i="20"/>
  <c r="I57" i="20"/>
  <c r="B57" i="20"/>
  <c r="N56" i="20"/>
  <c r="M56" i="20"/>
  <c r="L56" i="20"/>
  <c r="I56" i="20"/>
  <c r="B56" i="20"/>
  <c r="N55" i="20"/>
  <c r="M55" i="20"/>
  <c r="L55" i="20"/>
  <c r="I55" i="20"/>
  <c r="B55" i="20"/>
  <c r="N54" i="20"/>
  <c r="M54" i="20"/>
  <c r="L54" i="20"/>
  <c r="I54" i="20"/>
  <c r="B54" i="20"/>
  <c r="N53" i="20"/>
  <c r="M53" i="20"/>
  <c r="L53" i="20"/>
  <c r="I53" i="20"/>
  <c r="B53" i="20"/>
  <c r="N52" i="20"/>
  <c r="M52" i="20"/>
  <c r="L52" i="20"/>
  <c r="I52" i="20"/>
  <c r="B52" i="20"/>
  <c r="N51" i="20"/>
  <c r="M51" i="20"/>
  <c r="L51" i="20"/>
  <c r="I51" i="20"/>
  <c r="B51" i="20"/>
  <c r="N50" i="20"/>
  <c r="M50" i="20"/>
  <c r="L50" i="20"/>
  <c r="I50" i="20"/>
  <c r="B50" i="20"/>
  <c r="N49" i="20"/>
  <c r="M49" i="20"/>
  <c r="L49" i="20"/>
  <c r="I49" i="20"/>
  <c r="B49" i="20"/>
  <c r="N48" i="20"/>
  <c r="M48" i="20"/>
  <c r="L48" i="20"/>
  <c r="I48" i="20"/>
  <c r="B48" i="20"/>
  <c r="N47" i="20"/>
  <c r="M47" i="20"/>
  <c r="L47" i="20"/>
  <c r="I47" i="20"/>
  <c r="B47" i="20"/>
  <c r="N46" i="20"/>
  <c r="M46" i="20"/>
  <c r="L46" i="20"/>
  <c r="I46" i="20"/>
  <c r="B46" i="20"/>
  <c r="N45" i="20"/>
  <c r="M45" i="20"/>
  <c r="L45" i="20"/>
  <c r="I45" i="20"/>
  <c r="B45" i="20"/>
  <c r="N44" i="20"/>
  <c r="M44" i="20"/>
  <c r="L44" i="20"/>
  <c r="I44" i="20"/>
  <c r="B44" i="20"/>
  <c r="N43" i="20"/>
  <c r="M43" i="20"/>
  <c r="L43" i="20"/>
  <c r="I43" i="20"/>
  <c r="B43" i="20"/>
  <c r="N42" i="20"/>
  <c r="M42" i="20"/>
  <c r="L42" i="20"/>
  <c r="I42" i="20"/>
  <c r="B42" i="20"/>
  <c r="N41" i="20"/>
  <c r="M41" i="20"/>
  <c r="L41" i="20"/>
  <c r="I41" i="20"/>
  <c r="B41" i="20"/>
  <c r="N40" i="20"/>
  <c r="M40" i="20"/>
  <c r="L40" i="20"/>
  <c r="I40" i="20"/>
  <c r="B40" i="20"/>
  <c r="N39" i="20"/>
  <c r="M39" i="20"/>
  <c r="L39" i="20"/>
  <c r="I39" i="20"/>
  <c r="B39" i="20"/>
  <c r="N38" i="20"/>
  <c r="M38" i="20"/>
  <c r="L38" i="20"/>
  <c r="I38" i="20"/>
  <c r="B38" i="20"/>
  <c r="N37" i="20"/>
  <c r="M37" i="20"/>
  <c r="L37" i="20"/>
  <c r="I37" i="20"/>
  <c r="B37" i="20"/>
  <c r="N36" i="20"/>
  <c r="M36" i="20"/>
  <c r="L36" i="20"/>
  <c r="I36" i="20"/>
  <c r="B36" i="20"/>
  <c r="N35" i="20"/>
  <c r="M35" i="20"/>
  <c r="L35" i="20"/>
  <c r="I35" i="20"/>
  <c r="B35" i="20"/>
  <c r="N34" i="20"/>
  <c r="M34" i="20"/>
  <c r="L34" i="20"/>
  <c r="I34" i="20"/>
  <c r="B34" i="20"/>
  <c r="N33" i="20"/>
  <c r="M33" i="20"/>
  <c r="L33" i="20"/>
  <c r="I33" i="20"/>
  <c r="B33" i="20"/>
  <c r="N32" i="20"/>
  <c r="M32" i="20"/>
  <c r="L32" i="20"/>
  <c r="I32" i="20"/>
  <c r="B32" i="20"/>
  <c r="N31" i="20"/>
  <c r="M31" i="20"/>
  <c r="L31" i="20"/>
  <c r="I31" i="20"/>
  <c r="B31" i="20"/>
  <c r="N30" i="20"/>
  <c r="M30" i="20"/>
  <c r="L30" i="20"/>
  <c r="I30" i="20"/>
  <c r="B30" i="20"/>
  <c r="N29" i="20"/>
  <c r="M29" i="20"/>
  <c r="L29" i="20"/>
  <c r="I29" i="20"/>
  <c r="B29" i="20"/>
  <c r="N28" i="20"/>
  <c r="M28" i="20"/>
  <c r="L28" i="20"/>
  <c r="I28" i="20"/>
  <c r="B28" i="20"/>
  <c r="N27" i="20"/>
  <c r="M27" i="20"/>
  <c r="L27" i="20"/>
  <c r="I27" i="20"/>
  <c r="B27" i="20"/>
  <c r="N26" i="20"/>
  <c r="M26" i="20"/>
  <c r="L26" i="20"/>
  <c r="I26" i="20"/>
  <c r="B26" i="20"/>
  <c r="N25" i="20"/>
  <c r="M25" i="20"/>
  <c r="L25" i="20"/>
  <c r="I25" i="20"/>
  <c r="B25" i="20"/>
  <c r="N24" i="20"/>
  <c r="M24" i="20"/>
  <c r="L24" i="20"/>
  <c r="I24" i="20"/>
  <c r="B24" i="20"/>
  <c r="N23" i="20"/>
  <c r="M23" i="20"/>
  <c r="L23" i="20"/>
  <c r="I23" i="20"/>
  <c r="B23" i="20"/>
  <c r="N22" i="20"/>
  <c r="M22" i="20"/>
  <c r="L22" i="20"/>
  <c r="I22" i="20"/>
  <c r="B22" i="20"/>
  <c r="N21" i="20"/>
  <c r="M21" i="20"/>
  <c r="L21" i="20"/>
  <c r="I21" i="20"/>
  <c r="B21" i="20"/>
  <c r="N20" i="20"/>
  <c r="M20" i="20"/>
  <c r="L20" i="20"/>
  <c r="I20" i="20"/>
  <c r="B20" i="20"/>
  <c r="N19" i="20"/>
  <c r="M19" i="20"/>
  <c r="L19" i="20"/>
  <c r="I19" i="20"/>
  <c r="B19" i="20"/>
  <c r="N18" i="20"/>
  <c r="M18" i="20"/>
  <c r="L18" i="20"/>
  <c r="I18" i="20"/>
  <c r="B18" i="20"/>
  <c r="N17" i="20"/>
  <c r="M17" i="20"/>
  <c r="L17" i="20"/>
  <c r="I17" i="20"/>
  <c r="B17" i="20"/>
  <c r="N16" i="20"/>
  <c r="M16" i="20"/>
  <c r="L16" i="20"/>
  <c r="I16" i="20"/>
  <c r="B16" i="20"/>
  <c r="N15" i="20"/>
  <c r="M15" i="20"/>
  <c r="L15" i="20"/>
  <c r="I15" i="20"/>
  <c r="B15" i="20"/>
  <c r="N14" i="20"/>
  <c r="M14" i="20"/>
  <c r="L14" i="20"/>
  <c r="I14" i="20"/>
  <c r="B14" i="20"/>
  <c r="N13" i="20"/>
  <c r="M13" i="20"/>
  <c r="L13" i="20"/>
  <c r="I13" i="20"/>
  <c r="B13" i="20"/>
  <c r="N12" i="20"/>
  <c r="M12" i="20"/>
  <c r="L12" i="20"/>
  <c r="I12" i="20"/>
  <c r="B12" i="20"/>
  <c r="N11" i="20"/>
  <c r="M11" i="20"/>
  <c r="L11" i="20"/>
  <c r="I11" i="20"/>
  <c r="B11" i="20"/>
  <c r="N10" i="20"/>
  <c r="M10" i="20"/>
  <c r="L10" i="20"/>
  <c r="I10" i="20"/>
  <c r="B10" i="20"/>
  <c r="N9" i="20"/>
  <c r="M9" i="20"/>
  <c r="L9" i="20"/>
  <c r="I9" i="20"/>
  <c r="B9" i="20"/>
  <c r="N8" i="20"/>
  <c r="M8" i="20"/>
  <c r="L8" i="20"/>
  <c r="I8" i="20"/>
  <c r="B8" i="20"/>
  <c r="K7" i="20"/>
  <c r="N7" i="20" s="1"/>
  <c r="J7" i="20"/>
  <c r="M7" i="20" s="1"/>
  <c r="H7" i="20"/>
  <c r="N6" i="20"/>
  <c r="M6" i="20"/>
  <c r="L6" i="20"/>
  <c r="I6" i="20"/>
  <c r="N5" i="20"/>
  <c r="M5" i="20"/>
  <c r="L5" i="20"/>
  <c r="I5" i="20"/>
  <c r="N4" i="20"/>
  <c r="M4" i="20"/>
  <c r="L4" i="20"/>
  <c r="I4" i="20"/>
  <c r="L207" i="12"/>
  <c r="M207" i="12"/>
  <c r="N207" i="12"/>
  <c r="P207" i="12"/>
  <c r="L208" i="12"/>
  <c r="M208" i="12"/>
  <c r="N208" i="12"/>
  <c r="P208" i="12"/>
  <c r="L209" i="12"/>
  <c r="M209" i="12"/>
  <c r="N209" i="12"/>
  <c r="P209" i="12"/>
  <c r="I207" i="12"/>
  <c r="I208" i="12"/>
  <c r="I209" i="12"/>
  <c r="B208" i="12"/>
  <c r="B209" i="12"/>
  <c r="B207" i="12"/>
  <c r="AC111" i="1"/>
  <c r="AD111" i="1"/>
  <c r="AE111" i="1"/>
  <c r="AF111" i="1"/>
  <c r="AG111" i="1"/>
  <c r="AH111" i="1"/>
  <c r="AI111" i="1" s="1"/>
  <c r="AJ111" i="1"/>
  <c r="AK111" i="1"/>
  <c r="AL111" i="1"/>
  <c r="AM111" i="1"/>
  <c r="AN111" i="1"/>
  <c r="AT111" i="1"/>
  <c r="AU111" i="1"/>
  <c r="AV111" i="1"/>
  <c r="AW111" i="1"/>
  <c r="AX111" i="1"/>
  <c r="AC112" i="1"/>
  <c r="AD112" i="1"/>
  <c r="AE112" i="1"/>
  <c r="AF112" i="1"/>
  <c r="AG112" i="1"/>
  <c r="AH112" i="1"/>
  <c r="AC113" i="1"/>
  <c r="AE113" i="1" s="1"/>
  <c r="AD113" i="1"/>
  <c r="AF113" i="1"/>
  <c r="AG113" i="1"/>
  <c r="AH113" i="1"/>
  <c r="AC114" i="1"/>
  <c r="AE114" i="1" s="1"/>
  <c r="AD114" i="1"/>
  <c r="AF114" i="1" s="1"/>
  <c r="AG114" i="1"/>
  <c r="AH114" i="1"/>
  <c r="J104" i="1"/>
  <c r="J105" i="1"/>
  <c r="J106" i="1"/>
  <c r="J107" i="1"/>
  <c r="J108" i="1"/>
  <c r="J109" i="1"/>
  <c r="J110" i="1"/>
  <c r="J111" i="1"/>
  <c r="J112" i="1"/>
  <c r="J113" i="1"/>
  <c r="J114" i="1"/>
  <c r="AC103" i="1"/>
  <c r="AD103" i="1"/>
  <c r="AE103" i="1"/>
  <c r="AF103" i="1"/>
  <c r="AG103" i="1"/>
  <c r="AH103" i="1"/>
  <c r="AI103" i="1" s="1"/>
  <c r="AJ103" i="1"/>
  <c r="AK103" i="1"/>
  <c r="AU103" i="1" s="1"/>
  <c r="AL103" i="1"/>
  <c r="AM103" i="1"/>
  <c r="AN103" i="1"/>
  <c r="AT103" i="1"/>
  <c r="AV103" i="1"/>
  <c r="AW103" i="1"/>
  <c r="AX103" i="1"/>
  <c r="AC104" i="1"/>
  <c r="AD104" i="1"/>
  <c r="AE104" i="1"/>
  <c r="AF104" i="1"/>
  <c r="AG104" i="1"/>
  <c r="AH104" i="1"/>
  <c r="AL104" i="1"/>
  <c r="AV104" i="1" s="1"/>
  <c r="AM104" i="1"/>
  <c r="AW104" i="1" s="1"/>
  <c r="AC105" i="1"/>
  <c r="AD105" i="1"/>
  <c r="AF105" i="1" s="1"/>
  <c r="AE105" i="1"/>
  <c r="AG105" i="1"/>
  <c r="AH105" i="1"/>
  <c r="AC106" i="1"/>
  <c r="AE106" i="1" s="1"/>
  <c r="AD106" i="1"/>
  <c r="AF106" i="1" s="1"/>
  <c r="AG106" i="1"/>
  <c r="AH106" i="1"/>
  <c r="AC107" i="1"/>
  <c r="AE107" i="1" s="1"/>
  <c r="AD107" i="1"/>
  <c r="AF107" i="1" s="1"/>
  <c r="AG107" i="1"/>
  <c r="AH107" i="1"/>
  <c r="AC108" i="1"/>
  <c r="AE108" i="1" s="1"/>
  <c r="AD108" i="1"/>
  <c r="AF108" i="1" s="1"/>
  <c r="AG108" i="1"/>
  <c r="AH108" i="1"/>
  <c r="AK108" i="1"/>
  <c r="AL108" i="1"/>
  <c r="AM108" i="1"/>
  <c r="AN108" i="1"/>
  <c r="AU108" i="1"/>
  <c r="AV108" i="1"/>
  <c r="AW108" i="1"/>
  <c r="AX108" i="1"/>
  <c r="AC109" i="1"/>
  <c r="AD109" i="1"/>
  <c r="AE109" i="1"/>
  <c r="AF109" i="1"/>
  <c r="AG109" i="1"/>
  <c r="AH109" i="1"/>
  <c r="AM109" i="1"/>
  <c r="AN109" i="1"/>
  <c r="AW109" i="1"/>
  <c r="AX109" i="1"/>
  <c r="AC110" i="1"/>
  <c r="AE110" i="1" s="1"/>
  <c r="AD110" i="1"/>
  <c r="AF110" i="1" s="1"/>
  <c r="AG110" i="1"/>
  <c r="AH110" i="1"/>
  <c r="AI110" i="1" s="1"/>
  <c r="AJ110" i="1"/>
  <c r="AK110" i="1"/>
  <c r="AL110" i="1"/>
  <c r="AM110" i="1"/>
  <c r="AN110" i="1"/>
  <c r="AT110" i="1"/>
  <c r="AU110" i="1"/>
  <c r="AV110" i="1"/>
  <c r="AW110" i="1"/>
  <c r="AX110" i="1"/>
  <c r="J103" i="1"/>
  <c r="N271" i="12"/>
  <c r="M271" i="12"/>
  <c r="L271" i="12"/>
  <c r="I271" i="12"/>
  <c r="B271" i="12"/>
  <c r="N270" i="12"/>
  <c r="M270" i="12"/>
  <c r="L270" i="12"/>
  <c r="I270" i="12"/>
  <c r="B270" i="12"/>
  <c r="N269" i="12"/>
  <c r="M269" i="12"/>
  <c r="L269" i="12"/>
  <c r="I269" i="12"/>
  <c r="B269" i="12"/>
  <c r="N268" i="12"/>
  <c r="M268" i="12"/>
  <c r="L268" i="12"/>
  <c r="I268" i="12"/>
  <c r="B268" i="12"/>
  <c r="N267" i="12"/>
  <c r="M267" i="12"/>
  <c r="L267" i="12"/>
  <c r="I267" i="12"/>
  <c r="B267" i="12"/>
  <c r="N266" i="12"/>
  <c r="M266" i="12"/>
  <c r="L266" i="12"/>
  <c r="I266" i="12"/>
  <c r="B266" i="12"/>
  <c r="N265" i="12"/>
  <c r="M265" i="12"/>
  <c r="L265" i="12"/>
  <c r="I265" i="12"/>
  <c r="B265" i="12"/>
  <c r="N264" i="12"/>
  <c r="M264" i="12"/>
  <c r="L264" i="12"/>
  <c r="I264" i="12"/>
  <c r="B264" i="12"/>
  <c r="N263" i="12"/>
  <c r="M263" i="12"/>
  <c r="L263" i="12"/>
  <c r="I263" i="12"/>
  <c r="B263" i="12"/>
  <c r="N262" i="12"/>
  <c r="M262" i="12"/>
  <c r="L262" i="12"/>
  <c r="I262" i="12"/>
  <c r="B262" i="12"/>
  <c r="N261" i="12"/>
  <c r="M261" i="12"/>
  <c r="L261" i="12"/>
  <c r="I261" i="12"/>
  <c r="B261" i="12"/>
  <c r="N260" i="12"/>
  <c r="M260" i="12"/>
  <c r="L260" i="12"/>
  <c r="I260" i="12"/>
  <c r="B260" i="12"/>
  <c r="N259" i="12"/>
  <c r="M259" i="12"/>
  <c r="L259" i="12"/>
  <c r="I259" i="12"/>
  <c r="B259" i="12"/>
  <c r="N258" i="12"/>
  <c r="M258" i="12"/>
  <c r="L258" i="12"/>
  <c r="I258" i="12"/>
  <c r="B258" i="12"/>
  <c r="N257" i="12"/>
  <c r="M257" i="12"/>
  <c r="L257" i="12"/>
  <c r="I257" i="12"/>
  <c r="B257" i="12"/>
  <c r="N256" i="12"/>
  <c r="M256" i="12"/>
  <c r="L256" i="12"/>
  <c r="I256" i="12"/>
  <c r="B256" i="12"/>
  <c r="N255" i="12"/>
  <c r="M255" i="12"/>
  <c r="L255" i="12"/>
  <c r="I255" i="12"/>
  <c r="B255" i="12"/>
  <c r="N254" i="12"/>
  <c r="M254" i="12"/>
  <c r="L254" i="12"/>
  <c r="I254" i="12"/>
  <c r="B254" i="12"/>
  <c r="N253" i="12"/>
  <c r="M253" i="12"/>
  <c r="L253" i="12"/>
  <c r="I253" i="12"/>
  <c r="B253" i="12"/>
  <c r="N252" i="12"/>
  <c r="M252" i="12"/>
  <c r="L252" i="12"/>
  <c r="I252" i="12"/>
  <c r="B252" i="12"/>
  <c r="N251" i="12"/>
  <c r="M251" i="12"/>
  <c r="L251" i="12"/>
  <c r="I251" i="12"/>
  <c r="B251" i="12"/>
  <c r="N250" i="12"/>
  <c r="M250" i="12"/>
  <c r="L250" i="12"/>
  <c r="I250" i="12"/>
  <c r="B250" i="12"/>
  <c r="N249" i="12"/>
  <c r="M249" i="12"/>
  <c r="L249" i="12"/>
  <c r="I249" i="12"/>
  <c r="B249" i="12"/>
  <c r="N248" i="12"/>
  <c r="M248" i="12"/>
  <c r="L248" i="12"/>
  <c r="I248" i="12"/>
  <c r="B248" i="12"/>
  <c r="N247" i="12"/>
  <c r="M247" i="12"/>
  <c r="L247" i="12"/>
  <c r="I247" i="12"/>
  <c r="B247" i="12"/>
  <c r="N246" i="12"/>
  <c r="M246" i="12"/>
  <c r="L246" i="12"/>
  <c r="I246" i="12"/>
  <c r="B246" i="12"/>
  <c r="N245" i="12"/>
  <c r="M245" i="12"/>
  <c r="L245" i="12"/>
  <c r="I245" i="12"/>
  <c r="B245" i="12"/>
  <c r="N244" i="12"/>
  <c r="M244" i="12"/>
  <c r="L244" i="12"/>
  <c r="I244" i="12"/>
  <c r="B244" i="12"/>
  <c r="N243" i="12"/>
  <c r="M243" i="12"/>
  <c r="L243" i="12"/>
  <c r="I243" i="12"/>
  <c r="B243" i="12"/>
  <c r="N242" i="12"/>
  <c r="M242" i="12"/>
  <c r="L242" i="12"/>
  <c r="I242" i="12"/>
  <c r="B242" i="12"/>
  <c r="L238" i="12"/>
  <c r="M238" i="12"/>
  <c r="N238" i="12"/>
  <c r="L239" i="12"/>
  <c r="M239" i="12"/>
  <c r="N239" i="12"/>
  <c r="L240" i="12"/>
  <c r="M240" i="12"/>
  <c r="N240" i="12"/>
  <c r="I238" i="12"/>
  <c r="I239" i="12"/>
  <c r="I240" i="12"/>
  <c r="B240" i="12"/>
  <c r="B239" i="12"/>
  <c r="B238" i="12"/>
  <c r="L302" i="12"/>
  <c r="M302" i="12"/>
  <c r="N302" i="12"/>
  <c r="I302" i="12"/>
  <c r="B302" i="12"/>
  <c r="B284" i="12"/>
  <c r="I284" i="12"/>
  <c r="L284" i="12"/>
  <c r="M284" i="12"/>
  <c r="N284" i="12"/>
  <c r="L276" i="12"/>
  <c r="M276" i="12"/>
  <c r="N276" i="12"/>
  <c r="L277" i="12"/>
  <c r="M277" i="12"/>
  <c r="N277" i="12"/>
  <c r="L278" i="12"/>
  <c r="M278" i="12"/>
  <c r="N278" i="12"/>
  <c r="L280" i="12"/>
  <c r="M280" i="12"/>
  <c r="N280" i="12"/>
  <c r="L281" i="12"/>
  <c r="M281" i="12"/>
  <c r="N281" i="12"/>
  <c r="L282" i="12"/>
  <c r="M282" i="12"/>
  <c r="N282" i="12"/>
  <c r="L283" i="12"/>
  <c r="M283" i="12"/>
  <c r="N283" i="12"/>
  <c r="L286" i="12"/>
  <c r="M286" i="12"/>
  <c r="N286" i="12"/>
  <c r="L287" i="12"/>
  <c r="M287" i="12"/>
  <c r="N287" i="12"/>
  <c r="L288" i="12"/>
  <c r="M288" i="12"/>
  <c r="N288" i="12"/>
  <c r="L289" i="12"/>
  <c r="M289" i="12"/>
  <c r="N289" i="12"/>
  <c r="L290" i="12"/>
  <c r="M290" i="12"/>
  <c r="N290" i="12"/>
  <c r="L291" i="12"/>
  <c r="M291" i="12"/>
  <c r="N291" i="12"/>
  <c r="L293" i="12"/>
  <c r="M293" i="12"/>
  <c r="N293" i="12"/>
  <c r="L294" i="12"/>
  <c r="M294" i="12"/>
  <c r="N294" i="12"/>
  <c r="L295" i="12"/>
  <c r="M295" i="12"/>
  <c r="N295" i="12"/>
  <c r="L296" i="12"/>
  <c r="M296" i="12"/>
  <c r="N296" i="12"/>
  <c r="L297" i="12"/>
  <c r="M297" i="12"/>
  <c r="N297" i="12"/>
  <c r="L298" i="12"/>
  <c r="M298" i="12"/>
  <c r="N298" i="12"/>
  <c r="L299" i="12"/>
  <c r="M299" i="12"/>
  <c r="N299" i="12"/>
  <c r="L300" i="12"/>
  <c r="M300" i="12"/>
  <c r="N300" i="12"/>
  <c r="L301" i="12"/>
  <c r="M301" i="12"/>
  <c r="N301" i="12"/>
  <c r="I276" i="12"/>
  <c r="I277" i="12"/>
  <c r="I278" i="12"/>
  <c r="I280" i="12"/>
  <c r="I281" i="12"/>
  <c r="I282" i="12"/>
  <c r="I283" i="12"/>
  <c r="I286" i="12"/>
  <c r="I287" i="12"/>
  <c r="I288" i="12"/>
  <c r="I289" i="12"/>
  <c r="I290" i="12"/>
  <c r="I291" i="12"/>
  <c r="I293" i="12"/>
  <c r="I294" i="12"/>
  <c r="I295" i="12"/>
  <c r="I296" i="12"/>
  <c r="I297" i="12"/>
  <c r="I298" i="12"/>
  <c r="I299" i="12"/>
  <c r="I300" i="12"/>
  <c r="I301" i="12"/>
  <c r="B277" i="12"/>
  <c r="B278" i="12"/>
  <c r="B280" i="12"/>
  <c r="B281" i="12"/>
  <c r="B282" i="12"/>
  <c r="B283" i="12"/>
  <c r="B286" i="12"/>
  <c r="B287" i="12"/>
  <c r="B288" i="12"/>
  <c r="B289" i="12"/>
  <c r="B290" i="12"/>
  <c r="B291" i="12"/>
  <c r="B293" i="12"/>
  <c r="B294" i="12"/>
  <c r="B295" i="12"/>
  <c r="B296" i="12"/>
  <c r="B297" i="12"/>
  <c r="B298" i="12"/>
  <c r="B299" i="12"/>
  <c r="B300" i="12"/>
  <c r="B301" i="12"/>
  <c r="B276" i="12"/>
  <c r="L279" i="12"/>
  <c r="M279" i="12"/>
  <c r="N279" i="12"/>
  <c r="L273" i="12"/>
  <c r="M273" i="12"/>
  <c r="N273" i="12"/>
  <c r="L274" i="12"/>
  <c r="M274" i="12"/>
  <c r="N274" i="12"/>
  <c r="L275" i="12"/>
  <c r="M275" i="12"/>
  <c r="N275" i="12"/>
  <c r="I279" i="12"/>
  <c r="I273" i="12"/>
  <c r="I274" i="12"/>
  <c r="I275" i="12"/>
  <c r="B279" i="12"/>
  <c r="B273" i="12"/>
  <c r="B274" i="12"/>
  <c r="B275" i="12"/>
  <c r="B292" i="12"/>
  <c r="I292" i="12"/>
  <c r="L292" i="12"/>
  <c r="M292" i="12"/>
  <c r="N292" i="12"/>
  <c r="B285" i="12"/>
  <c r="N285" i="12"/>
  <c r="M285" i="12"/>
  <c r="L285" i="12"/>
  <c r="I285" i="12"/>
  <c r="B65" i="12"/>
  <c r="B66" i="12"/>
  <c r="B67" i="12"/>
  <c r="B68" i="12"/>
  <c r="B69" i="12"/>
  <c r="B70" i="12"/>
  <c r="B71" i="12"/>
  <c r="L64" i="12"/>
  <c r="M64" i="12"/>
  <c r="N64" i="12"/>
  <c r="L65" i="12"/>
  <c r="M65" i="12"/>
  <c r="N65" i="12"/>
  <c r="L66" i="12"/>
  <c r="M66" i="12"/>
  <c r="N66" i="12"/>
  <c r="L67" i="12"/>
  <c r="M67" i="12"/>
  <c r="N67" i="12"/>
  <c r="L68" i="12"/>
  <c r="M68" i="12"/>
  <c r="N68" i="12"/>
  <c r="L69" i="12"/>
  <c r="M69" i="12"/>
  <c r="N69" i="12"/>
  <c r="L70" i="12"/>
  <c r="M70" i="12"/>
  <c r="N70" i="12"/>
  <c r="L71" i="12"/>
  <c r="M71" i="12"/>
  <c r="N71" i="12"/>
  <c r="I64" i="12"/>
  <c r="I65" i="12"/>
  <c r="I66" i="12"/>
  <c r="I67" i="12"/>
  <c r="I68" i="12"/>
  <c r="I69" i="12"/>
  <c r="I70" i="12"/>
  <c r="I71" i="12"/>
  <c r="B64" i="12"/>
  <c r="N237" i="12"/>
  <c r="M237" i="12"/>
  <c r="L237" i="12"/>
  <c r="I237" i="12"/>
  <c r="B237" i="12"/>
  <c r="N236" i="12"/>
  <c r="M236" i="12"/>
  <c r="L236" i="12"/>
  <c r="I236" i="12"/>
  <c r="B236" i="12"/>
  <c r="N235" i="12"/>
  <c r="M235" i="12"/>
  <c r="L235" i="12"/>
  <c r="I235" i="12"/>
  <c r="B235" i="12"/>
  <c r="N234" i="12"/>
  <c r="M234" i="12"/>
  <c r="L234" i="12"/>
  <c r="I234" i="12"/>
  <c r="B234" i="12"/>
  <c r="N233" i="12"/>
  <c r="M233" i="12"/>
  <c r="L233" i="12"/>
  <c r="I233" i="12"/>
  <c r="B233" i="12"/>
  <c r="N232" i="12"/>
  <c r="M232" i="12"/>
  <c r="L232" i="12"/>
  <c r="I232" i="12"/>
  <c r="B232" i="12"/>
  <c r="N231" i="12"/>
  <c r="M231" i="12"/>
  <c r="L231" i="12"/>
  <c r="I231" i="12"/>
  <c r="B231" i="12"/>
  <c r="N230" i="12"/>
  <c r="M230" i="12"/>
  <c r="L230" i="12"/>
  <c r="I230" i="12"/>
  <c r="B230" i="12"/>
  <c r="N229" i="12"/>
  <c r="M229" i="12"/>
  <c r="L229" i="12"/>
  <c r="I229" i="12"/>
  <c r="B229" i="12"/>
  <c r="N228" i="12"/>
  <c r="M228" i="12"/>
  <c r="L228" i="12"/>
  <c r="I228" i="12"/>
  <c r="B228" i="12"/>
  <c r="N227" i="12"/>
  <c r="M227" i="12"/>
  <c r="L227" i="12"/>
  <c r="I227" i="12"/>
  <c r="B227" i="12"/>
  <c r="N226" i="12"/>
  <c r="M226" i="12"/>
  <c r="L226" i="12"/>
  <c r="I226" i="12"/>
  <c r="B226" i="12"/>
  <c r="N225" i="12"/>
  <c r="M225" i="12"/>
  <c r="L225" i="12"/>
  <c r="I225" i="12"/>
  <c r="B225" i="12"/>
  <c r="N224" i="12"/>
  <c r="M224" i="12"/>
  <c r="L224" i="12"/>
  <c r="I224" i="12"/>
  <c r="B224" i="12"/>
  <c r="N223" i="12"/>
  <c r="M223" i="12"/>
  <c r="L223" i="12"/>
  <c r="I223" i="12"/>
  <c r="B223" i="12"/>
  <c r="N222" i="12"/>
  <c r="M222" i="12"/>
  <c r="L222" i="12"/>
  <c r="I222" i="12"/>
  <c r="B222" i="12"/>
  <c r="N221" i="12"/>
  <c r="M221" i="12"/>
  <c r="L221" i="12"/>
  <c r="I221" i="12"/>
  <c r="B221" i="12"/>
  <c r="N220" i="12"/>
  <c r="M220" i="12"/>
  <c r="L220" i="12"/>
  <c r="I220" i="12"/>
  <c r="B220" i="12"/>
  <c r="N219" i="12"/>
  <c r="M219" i="12"/>
  <c r="L219" i="12"/>
  <c r="I219" i="12"/>
  <c r="B219" i="12"/>
  <c r="N218" i="12"/>
  <c r="M218" i="12"/>
  <c r="L218" i="12"/>
  <c r="I218" i="12"/>
  <c r="B218" i="12"/>
  <c r="N217" i="12"/>
  <c r="M217" i="12"/>
  <c r="L217" i="12"/>
  <c r="I217" i="12"/>
  <c r="B217" i="12"/>
  <c r="N216" i="12"/>
  <c r="M216" i="12"/>
  <c r="L216" i="12"/>
  <c r="I216" i="12"/>
  <c r="B216" i="12"/>
  <c r="N215" i="12"/>
  <c r="M215" i="12"/>
  <c r="L215" i="12"/>
  <c r="I215" i="12"/>
  <c r="B215" i="12"/>
  <c r="N214" i="12"/>
  <c r="M214" i="12"/>
  <c r="L214" i="12"/>
  <c r="I214" i="12"/>
  <c r="B214" i="12"/>
  <c r="N213" i="12"/>
  <c r="M213" i="12"/>
  <c r="L213" i="12"/>
  <c r="I213" i="12"/>
  <c r="B213" i="12"/>
  <c r="N212" i="12"/>
  <c r="M212" i="12"/>
  <c r="L212" i="12"/>
  <c r="I212" i="12"/>
  <c r="B212" i="12"/>
  <c r="N211" i="12"/>
  <c r="M211" i="12"/>
  <c r="L211" i="12"/>
  <c r="I211" i="12"/>
  <c r="B211" i="12"/>
  <c r="L61" i="12"/>
  <c r="M61" i="12"/>
  <c r="N61" i="12"/>
  <c r="L62" i="12"/>
  <c r="M62" i="12"/>
  <c r="N62" i="12"/>
  <c r="L63" i="12"/>
  <c r="M63" i="12"/>
  <c r="N63" i="12"/>
  <c r="I61" i="12"/>
  <c r="I62" i="12"/>
  <c r="I63" i="12"/>
  <c r="B63" i="12"/>
  <c r="B62" i="12"/>
  <c r="B61" i="12"/>
  <c r="B129" i="12"/>
  <c r="B128" i="12"/>
  <c r="B127" i="12"/>
  <c r="L127" i="12"/>
  <c r="M127" i="12"/>
  <c r="N127" i="12"/>
  <c r="L128" i="12"/>
  <c r="M128" i="12"/>
  <c r="N128" i="12"/>
  <c r="L129" i="12"/>
  <c r="M129" i="12"/>
  <c r="N129" i="12"/>
  <c r="I127" i="12"/>
  <c r="I128" i="12"/>
  <c r="I129" i="12"/>
  <c r="B60" i="12"/>
  <c r="B59" i="12"/>
  <c r="B58" i="12"/>
  <c r="L57" i="12"/>
  <c r="M57" i="12"/>
  <c r="N57" i="12"/>
  <c r="L58" i="12"/>
  <c r="M58" i="12"/>
  <c r="N58" i="12"/>
  <c r="L59" i="12"/>
  <c r="M59" i="12"/>
  <c r="N59" i="12"/>
  <c r="L60" i="12"/>
  <c r="M60" i="12"/>
  <c r="N60" i="12"/>
  <c r="I57" i="12"/>
  <c r="I58" i="12"/>
  <c r="I59" i="12"/>
  <c r="I60" i="12"/>
  <c r="B57" i="12"/>
  <c r="N155" i="12"/>
  <c r="M155" i="12"/>
  <c r="L155" i="12"/>
  <c r="I155" i="12"/>
  <c r="B155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L204" i="12"/>
  <c r="M204" i="12"/>
  <c r="N204" i="12"/>
  <c r="L205" i="12"/>
  <c r="M205" i="12"/>
  <c r="N205" i="12"/>
  <c r="L206" i="12"/>
  <c r="M206" i="12"/>
  <c r="N206" i="12"/>
  <c r="I204" i="12"/>
  <c r="I205" i="12"/>
  <c r="I206" i="12"/>
  <c r="B204" i="12"/>
  <c r="B205" i="12"/>
  <c r="B206" i="12"/>
  <c r="I201" i="12"/>
  <c r="L201" i="12"/>
  <c r="M201" i="12"/>
  <c r="N201" i="12"/>
  <c r="I202" i="12"/>
  <c r="L202" i="12"/>
  <c r="M202" i="12"/>
  <c r="N202" i="12"/>
  <c r="I203" i="12"/>
  <c r="L203" i="12"/>
  <c r="M203" i="12"/>
  <c r="N203" i="12"/>
  <c r="B202" i="12"/>
  <c r="B203" i="12"/>
  <c r="B201" i="12"/>
  <c r="L174" i="12"/>
  <c r="M174" i="12"/>
  <c r="N174" i="12"/>
  <c r="L175" i="12"/>
  <c r="M175" i="12"/>
  <c r="N175" i="12"/>
  <c r="L176" i="12"/>
  <c r="M176" i="12"/>
  <c r="N176" i="12"/>
  <c r="L177" i="12"/>
  <c r="M177" i="12"/>
  <c r="N177" i="12"/>
  <c r="L178" i="12"/>
  <c r="M178" i="12"/>
  <c r="N178" i="12"/>
  <c r="L179" i="12"/>
  <c r="M179" i="12"/>
  <c r="N179" i="12"/>
  <c r="L180" i="12"/>
  <c r="M180" i="12"/>
  <c r="N180" i="12"/>
  <c r="L181" i="12"/>
  <c r="M181" i="12"/>
  <c r="N181" i="12"/>
  <c r="L182" i="12"/>
  <c r="M182" i="12"/>
  <c r="N182" i="12"/>
  <c r="L183" i="12"/>
  <c r="M183" i="12"/>
  <c r="N183" i="12"/>
  <c r="L184" i="12"/>
  <c r="M184" i="12"/>
  <c r="N184" i="12"/>
  <c r="L185" i="12"/>
  <c r="M185" i="12"/>
  <c r="N185" i="12"/>
  <c r="L186" i="12"/>
  <c r="M186" i="12"/>
  <c r="N186" i="12"/>
  <c r="L187" i="12"/>
  <c r="M187" i="12"/>
  <c r="N187" i="12"/>
  <c r="L188" i="12"/>
  <c r="M188" i="12"/>
  <c r="N188" i="12"/>
  <c r="L189" i="12"/>
  <c r="M189" i="12"/>
  <c r="N189" i="12"/>
  <c r="L190" i="12"/>
  <c r="M190" i="12"/>
  <c r="N190" i="12"/>
  <c r="L191" i="12"/>
  <c r="M191" i="12"/>
  <c r="N191" i="12"/>
  <c r="L192" i="12"/>
  <c r="M192" i="12"/>
  <c r="N192" i="12"/>
  <c r="L193" i="12"/>
  <c r="M193" i="12"/>
  <c r="N193" i="12"/>
  <c r="L194" i="12"/>
  <c r="M194" i="12"/>
  <c r="N194" i="12"/>
  <c r="L195" i="12"/>
  <c r="M195" i="12"/>
  <c r="N195" i="12"/>
  <c r="L196" i="12"/>
  <c r="M196" i="12"/>
  <c r="N196" i="12"/>
  <c r="L197" i="12"/>
  <c r="M197" i="12"/>
  <c r="N197" i="12"/>
  <c r="L198" i="12"/>
  <c r="M198" i="12"/>
  <c r="N198" i="12"/>
  <c r="L199" i="12"/>
  <c r="M199" i="12"/>
  <c r="N199" i="12"/>
  <c r="L200" i="12"/>
  <c r="M200" i="12"/>
  <c r="N200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92" i="12"/>
  <c r="B200" i="12"/>
  <c r="B199" i="12"/>
  <c r="B198" i="12"/>
  <c r="B197" i="12"/>
  <c r="B196" i="12"/>
  <c r="B195" i="12"/>
  <c r="B194" i="12"/>
  <c r="B193" i="12"/>
  <c r="B191" i="12"/>
  <c r="B190" i="12"/>
  <c r="B189" i="12"/>
  <c r="B188" i="12"/>
  <c r="B187" i="12"/>
  <c r="B186" i="12"/>
  <c r="B185" i="12"/>
  <c r="B184" i="12"/>
  <c r="B183" i="12"/>
  <c r="B175" i="12"/>
  <c r="B176" i="12"/>
  <c r="B177" i="12"/>
  <c r="B178" i="12"/>
  <c r="B179" i="12"/>
  <c r="B180" i="12"/>
  <c r="B181" i="12"/>
  <c r="B182" i="12"/>
  <c r="B174" i="12"/>
  <c r="I172" i="12"/>
  <c r="L171" i="12"/>
  <c r="M171" i="12"/>
  <c r="N171" i="12"/>
  <c r="L172" i="12"/>
  <c r="M172" i="12"/>
  <c r="N172" i="12"/>
  <c r="I171" i="12"/>
  <c r="L170" i="12"/>
  <c r="M170" i="12"/>
  <c r="N170" i="12"/>
  <c r="I170" i="12"/>
  <c r="I169" i="12"/>
  <c r="L169" i="12"/>
  <c r="M169" i="12"/>
  <c r="N169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M157" i="12"/>
  <c r="N157" i="12"/>
  <c r="M158" i="12"/>
  <c r="N158" i="12"/>
  <c r="M159" i="12"/>
  <c r="N159" i="12"/>
  <c r="M160" i="12"/>
  <c r="N160" i="12"/>
  <c r="M161" i="12"/>
  <c r="N161" i="12"/>
  <c r="M162" i="12"/>
  <c r="N162" i="12"/>
  <c r="M163" i="12"/>
  <c r="N163" i="12"/>
  <c r="M164" i="12"/>
  <c r="N164" i="12"/>
  <c r="M165" i="12"/>
  <c r="N165" i="12"/>
  <c r="M166" i="12"/>
  <c r="N166" i="12"/>
  <c r="M167" i="12"/>
  <c r="N167" i="12"/>
  <c r="M168" i="12"/>
  <c r="N168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54" i="12"/>
  <c r="L154" i="12"/>
  <c r="M154" i="12"/>
  <c r="N154" i="12"/>
  <c r="BB2" i="1"/>
  <c r="BC2" i="1"/>
  <c r="BE2" i="1"/>
  <c r="BF2" i="1"/>
  <c r="BG2" i="1"/>
  <c r="BH2" i="1"/>
  <c r="L153" i="12"/>
  <c r="M153" i="12"/>
  <c r="N153" i="12"/>
  <c r="I153" i="12"/>
  <c r="L139" i="12"/>
  <c r="M139" i="12"/>
  <c r="N139" i="12"/>
  <c r="I139" i="12"/>
  <c r="I152" i="12"/>
  <c r="L152" i="12"/>
  <c r="M152" i="12"/>
  <c r="N152" i="12"/>
  <c r="L151" i="12"/>
  <c r="M151" i="12"/>
  <c r="N151" i="12"/>
  <c r="I151" i="12"/>
  <c r="L148" i="12"/>
  <c r="M148" i="12"/>
  <c r="N148" i="12"/>
  <c r="L149" i="12"/>
  <c r="M149" i="12"/>
  <c r="N149" i="12"/>
  <c r="L150" i="12"/>
  <c r="M150" i="12"/>
  <c r="N150" i="12"/>
  <c r="I149" i="12"/>
  <c r="I150" i="12"/>
  <c r="I148" i="12"/>
  <c r="I132" i="12"/>
  <c r="I133" i="12"/>
  <c r="I134" i="12"/>
  <c r="I135" i="12"/>
  <c r="I136" i="12"/>
  <c r="I137" i="12"/>
  <c r="I138" i="12"/>
  <c r="I140" i="12"/>
  <c r="I141" i="12"/>
  <c r="I142" i="12"/>
  <c r="I143" i="12"/>
  <c r="I144" i="12"/>
  <c r="I145" i="12"/>
  <c r="I146" i="12"/>
  <c r="I147" i="12"/>
  <c r="L132" i="12"/>
  <c r="M132" i="12"/>
  <c r="N132" i="12"/>
  <c r="L133" i="12"/>
  <c r="M133" i="12"/>
  <c r="N133" i="12"/>
  <c r="L134" i="12"/>
  <c r="M134" i="12"/>
  <c r="N134" i="12"/>
  <c r="L135" i="12"/>
  <c r="M135" i="12"/>
  <c r="N135" i="12"/>
  <c r="L136" i="12"/>
  <c r="M136" i="12"/>
  <c r="N136" i="12"/>
  <c r="L137" i="12"/>
  <c r="M137" i="12"/>
  <c r="N137" i="12"/>
  <c r="L138" i="12"/>
  <c r="M138" i="12"/>
  <c r="N138" i="12"/>
  <c r="L140" i="12"/>
  <c r="M140" i="12"/>
  <c r="N140" i="12"/>
  <c r="L141" i="12"/>
  <c r="M141" i="12"/>
  <c r="N141" i="12"/>
  <c r="L142" i="12"/>
  <c r="M142" i="12"/>
  <c r="N142" i="12"/>
  <c r="L143" i="12"/>
  <c r="M143" i="12"/>
  <c r="N143" i="12"/>
  <c r="L144" i="12"/>
  <c r="M144" i="12"/>
  <c r="N144" i="12"/>
  <c r="L145" i="12"/>
  <c r="M145" i="12"/>
  <c r="N145" i="12"/>
  <c r="L146" i="12"/>
  <c r="M146" i="12"/>
  <c r="N146" i="12"/>
  <c r="L147" i="12"/>
  <c r="M147" i="12"/>
  <c r="N147" i="12"/>
  <c r="N131" i="12"/>
  <c r="M131" i="12"/>
  <c r="L131" i="12"/>
  <c r="I131" i="12"/>
  <c r="L126" i="12"/>
  <c r="M126" i="12"/>
  <c r="N126" i="12"/>
  <c r="I126" i="12"/>
  <c r="L125" i="12"/>
  <c r="M125" i="12"/>
  <c r="N125" i="12"/>
  <c r="I125" i="12"/>
  <c r="I124" i="12"/>
  <c r="L124" i="12"/>
  <c r="M124" i="12"/>
  <c r="N124" i="12"/>
  <c r="L123" i="12"/>
  <c r="M123" i="12"/>
  <c r="N123" i="12"/>
  <c r="I123" i="12"/>
  <c r="I122" i="12"/>
  <c r="L122" i="12"/>
  <c r="M122" i="12"/>
  <c r="N122" i="12"/>
  <c r="L121" i="12"/>
  <c r="M121" i="12"/>
  <c r="N121" i="12"/>
  <c r="I121" i="12"/>
  <c r="M120" i="12"/>
  <c r="N120" i="12"/>
  <c r="I120" i="12"/>
  <c r="L120" i="12"/>
  <c r="L119" i="12"/>
  <c r="M119" i="12"/>
  <c r="N119" i="12"/>
  <c r="I119" i="12"/>
  <c r="L117" i="12"/>
  <c r="M117" i="12"/>
  <c r="N117" i="12"/>
  <c r="I117" i="12"/>
  <c r="L118" i="12"/>
  <c r="M118" i="12"/>
  <c r="N118" i="12"/>
  <c r="I118" i="12"/>
  <c r="L116" i="12"/>
  <c r="M116" i="12"/>
  <c r="N116" i="12"/>
  <c r="I116" i="12"/>
  <c r="L115" i="12"/>
  <c r="M115" i="12"/>
  <c r="N115" i="12"/>
  <c r="I115" i="12"/>
  <c r="I114" i="12"/>
  <c r="L114" i="12"/>
  <c r="M114" i="12"/>
  <c r="N114" i="12"/>
  <c r="I113" i="12"/>
  <c r="L113" i="12"/>
  <c r="M113" i="12"/>
  <c r="N113" i="12"/>
  <c r="L112" i="12"/>
  <c r="M112" i="12"/>
  <c r="N112" i="12"/>
  <c r="I112" i="12"/>
  <c r="L97" i="12"/>
  <c r="M97" i="12"/>
  <c r="N97" i="12"/>
  <c r="L98" i="12"/>
  <c r="M98" i="12"/>
  <c r="N98" i="12"/>
  <c r="L99" i="12"/>
  <c r="M99" i="12"/>
  <c r="N99" i="12"/>
  <c r="L100" i="12"/>
  <c r="M100" i="12"/>
  <c r="N100" i="12"/>
  <c r="L101" i="12"/>
  <c r="M101" i="12"/>
  <c r="N101" i="12"/>
  <c r="I97" i="12"/>
  <c r="I98" i="12"/>
  <c r="I99" i="12"/>
  <c r="I100" i="12"/>
  <c r="I101" i="12"/>
  <c r="I102" i="12"/>
  <c r="I103" i="12"/>
  <c r="L111" i="12"/>
  <c r="M111" i="12"/>
  <c r="N111" i="12"/>
  <c r="I111" i="12"/>
  <c r="L106" i="12"/>
  <c r="M106" i="12"/>
  <c r="N106" i="12"/>
  <c r="I106" i="12"/>
  <c r="I110" i="12"/>
  <c r="L110" i="12"/>
  <c r="M110" i="12"/>
  <c r="N110" i="12"/>
  <c r="L109" i="12"/>
  <c r="M109" i="12"/>
  <c r="N109" i="12"/>
  <c r="I109" i="12"/>
  <c r="L108" i="12"/>
  <c r="M108" i="12"/>
  <c r="N108" i="12"/>
  <c r="I108" i="12"/>
  <c r="L107" i="12"/>
  <c r="M107" i="12"/>
  <c r="N107" i="12"/>
  <c r="I107" i="12"/>
  <c r="L89" i="12"/>
  <c r="M89" i="12"/>
  <c r="N89" i="12"/>
  <c r="L90" i="12"/>
  <c r="M90" i="12"/>
  <c r="N90" i="12"/>
  <c r="L91" i="12"/>
  <c r="M91" i="12"/>
  <c r="N91" i="12"/>
  <c r="I89" i="12"/>
  <c r="I91" i="12"/>
  <c r="L87" i="12"/>
  <c r="M87" i="12"/>
  <c r="N87" i="12"/>
  <c r="I87" i="12"/>
  <c r="L86" i="12"/>
  <c r="M86" i="12"/>
  <c r="N86" i="12"/>
  <c r="L88" i="12"/>
  <c r="M88" i="12"/>
  <c r="N88" i="12"/>
  <c r="L92" i="12"/>
  <c r="M92" i="12"/>
  <c r="N92" i="12"/>
  <c r="L93" i="12"/>
  <c r="M93" i="12"/>
  <c r="N93" i="12"/>
  <c r="L94" i="12"/>
  <c r="M94" i="12"/>
  <c r="N94" i="12"/>
  <c r="L95" i="12"/>
  <c r="M95" i="12"/>
  <c r="N95" i="12"/>
  <c r="L96" i="12"/>
  <c r="M96" i="12"/>
  <c r="N96" i="12"/>
  <c r="L102" i="12"/>
  <c r="M102" i="12"/>
  <c r="N102" i="12"/>
  <c r="L103" i="12"/>
  <c r="M103" i="12"/>
  <c r="N103" i="12"/>
  <c r="L104" i="12"/>
  <c r="M104" i="12"/>
  <c r="N104" i="12"/>
  <c r="L105" i="12"/>
  <c r="M105" i="12"/>
  <c r="N105" i="12"/>
  <c r="I86" i="12"/>
  <c r="I88" i="12"/>
  <c r="I90" i="12"/>
  <c r="I92" i="12"/>
  <c r="I93" i="12"/>
  <c r="I94" i="12"/>
  <c r="I95" i="12"/>
  <c r="I96" i="12"/>
  <c r="I104" i="12"/>
  <c r="I105" i="12"/>
  <c r="L83" i="12"/>
  <c r="M83" i="12"/>
  <c r="N83" i="12"/>
  <c r="L84" i="12"/>
  <c r="M84" i="12"/>
  <c r="N84" i="12"/>
  <c r="I83" i="12"/>
  <c r="I84" i="12"/>
  <c r="L82" i="12"/>
  <c r="M82" i="12"/>
  <c r="N82" i="12"/>
  <c r="I82" i="12"/>
  <c r="L78" i="12"/>
  <c r="M78" i="12"/>
  <c r="N78" i="12"/>
  <c r="L79" i="12"/>
  <c r="M79" i="12"/>
  <c r="N79" i="12"/>
  <c r="L80" i="12"/>
  <c r="M80" i="12"/>
  <c r="N80" i="12"/>
  <c r="L81" i="12"/>
  <c r="M81" i="12"/>
  <c r="N81" i="12"/>
  <c r="I78" i="12"/>
  <c r="I79" i="12"/>
  <c r="I80" i="12"/>
  <c r="I81" i="12"/>
  <c r="L75" i="12"/>
  <c r="M75" i="12"/>
  <c r="N75" i="12"/>
  <c r="L76" i="12"/>
  <c r="M76" i="12"/>
  <c r="N76" i="12"/>
  <c r="L77" i="12"/>
  <c r="M77" i="12"/>
  <c r="N77" i="12"/>
  <c r="I75" i="12"/>
  <c r="I76" i="12"/>
  <c r="I77" i="12"/>
  <c r="L73" i="12"/>
  <c r="M73" i="12"/>
  <c r="N73" i="12"/>
  <c r="I73" i="12"/>
  <c r="L74" i="12"/>
  <c r="M74" i="12"/>
  <c r="N74" i="12"/>
  <c r="I74" i="12"/>
  <c r="L56" i="12"/>
  <c r="M56" i="12"/>
  <c r="N56" i="12"/>
  <c r="I56" i="12"/>
  <c r="L55" i="12"/>
  <c r="M55" i="12"/>
  <c r="N55" i="12"/>
  <c r="I55" i="12"/>
  <c r="L54" i="12"/>
  <c r="M54" i="12"/>
  <c r="N54" i="12"/>
  <c r="I54" i="12"/>
  <c r="L53" i="12"/>
  <c r="M53" i="12"/>
  <c r="N53" i="12"/>
  <c r="I53" i="12"/>
  <c r="L52" i="12"/>
  <c r="M52" i="12"/>
  <c r="N52" i="12"/>
  <c r="I52" i="12"/>
  <c r="L51" i="12"/>
  <c r="M51" i="12"/>
  <c r="N51" i="12"/>
  <c r="I51" i="12"/>
  <c r="L50" i="12"/>
  <c r="M50" i="12"/>
  <c r="N50" i="12"/>
  <c r="I50" i="12"/>
  <c r="L49" i="12"/>
  <c r="M49" i="12"/>
  <c r="N49" i="12"/>
  <c r="I49" i="12"/>
  <c r="L48" i="12"/>
  <c r="M48" i="12"/>
  <c r="N48" i="12"/>
  <c r="I48" i="12"/>
  <c r="L47" i="12"/>
  <c r="M47" i="12"/>
  <c r="N47" i="12"/>
  <c r="I47" i="12"/>
  <c r="L46" i="12"/>
  <c r="M46" i="12"/>
  <c r="N46" i="12"/>
  <c r="I46" i="12"/>
  <c r="L45" i="12"/>
  <c r="M45" i="12"/>
  <c r="N45" i="12"/>
  <c r="I45" i="12"/>
  <c r="L44" i="12"/>
  <c r="M44" i="12"/>
  <c r="N44" i="12"/>
  <c r="I44" i="12"/>
  <c r="L43" i="12"/>
  <c r="M43" i="12"/>
  <c r="N43" i="12"/>
  <c r="I43" i="12"/>
  <c r="I42" i="12"/>
  <c r="L42" i="12"/>
  <c r="M42" i="12"/>
  <c r="N42" i="12"/>
  <c r="L41" i="12"/>
  <c r="M41" i="12"/>
  <c r="N41" i="12"/>
  <c r="I41" i="12"/>
  <c r="L40" i="12"/>
  <c r="M40" i="12"/>
  <c r="N40" i="12"/>
  <c r="I40" i="12"/>
  <c r="M39" i="12"/>
  <c r="N39" i="12"/>
  <c r="L39" i="12"/>
  <c r="I39" i="12"/>
  <c r="L38" i="12"/>
  <c r="M38" i="12"/>
  <c r="N38" i="12"/>
  <c r="I38" i="12"/>
  <c r="L32" i="12"/>
  <c r="M32" i="12"/>
  <c r="N32" i="12"/>
  <c r="L33" i="12"/>
  <c r="M33" i="12"/>
  <c r="N33" i="12"/>
  <c r="L34" i="12"/>
  <c r="M34" i="12"/>
  <c r="N34" i="12"/>
  <c r="L35" i="12"/>
  <c r="M35" i="12"/>
  <c r="N35" i="12"/>
  <c r="L36" i="12"/>
  <c r="M36" i="12"/>
  <c r="N36" i="12"/>
  <c r="L37" i="12"/>
  <c r="M37" i="12"/>
  <c r="N37" i="12"/>
  <c r="I32" i="12"/>
  <c r="I33" i="12"/>
  <c r="I34" i="12"/>
  <c r="I35" i="12"/>
  <c r="I36" i="12"/>
  <c r="I37" i="12"/>
  <c r="L31" i="12"/>
  <c r="M31" i="12"/>
  <c r="N31" i="12"/>
  <c r="I31" i="12"/>
  <c r="L27" i="12"/>
  <c r="L28" i="12"/>
  <c r="L25" i="12"/>
  <c r="M25" i="12"/>
  <c r="N25" i="12"/>
  <c r="L26" i="12"/>
  <c r="M26" i="12"/>
  <c r="N26" i="12"/>
  <c r="M27" i="12"/>
  <c r="N27" i="12"/>
  <c r="M28" i="12"/>
  <c r="N28" i="12"/>
  <c r="L29" i="12"/>
  <c r="M29" i="12"/>
  <c r="N29" i="12"/>
  <c r="L30" i="12"/>
  <c r="M30" i="12"/>
  <c r="N30" i="12"/>
  <c r="I25" i="12"/>
  <c r="I26" i="12"/>
  <c r="I27" i="12"/>
  <c r="I28" i="12"/>
  <c r="I29" i="12"/>
  <c r="I30" i="12"/>
  <c r="L20" i="12"/>
  <c r="M20" i="12"/>
  <c r="N20" i="12"/>
  <c r="I20" i="12"/>
  <c r="K7" i="12"/>
  <c r="N7" i="12" s="1"/>
  <c r="J7" i="12"/>
  <c r="M7" i="12" s="1"/>
  <c r="M4" i="12"/>
  <c r="N4" i="12"/>
  <c r="M5" i="12"/>
  <c r="N5" i="12"/>
  <c r="M6" i="12"/>
  <c r="N6" i="12"/>
  <c r="L23" i="12"/>
  <c r="M23" i="12"/>
  <c r="N23" i="12"/>
  <c r="I23" i="12"/>
  <c r="L24" i="12"/>
  <c r="M24" i="12"/>
  <c r="N24" i="12"/>
  <c r="I24" i="12"/>
  <c r="I22" i="12"/>
  <c r="L22" i="12"/>
  <c r="M22" i="12"/>
  <c r="N22" i="12"/>
  <c r="L21" i="12"/>
  <c r="M21" i="12"/>
  <c r="N21" i="12"/>
  <c r="I21" i="12"/>
  <c r="I6" i="12"/>
  <c r="H7" i="12"/>
  <c r="I7" i="12" s="1"/>
  <c r="L4" i="12"/>
  <c r="L5" i="12"/>
  <c r="L6" i="12"/>
  <c r="I4" i="12"/>
  <c r="L8" i="12"/>
  <c r="M8" i="12"/>
  <c r="N8" i="12"/>
  <c r="L9" i="12"/>
  <c r="M9" i="12"/>
  <c r="N9" i="12"/>
  <c r="I8" i="12"/>
  <c r="I9" i="12"/>
  <c r="L15" i="12"/>
  <c r="N15" i="12"/>
  <c r="M15" i="12"/>
  <c r="L16" i="12"/>
  <c r="N16" i="12"/>
  <c r="M16" i="12"/>
  <c r="L17" i="12"/>
  <c r="N17" i="12"/>
  <c r="M17" i="12"/>
  <c r="L18" i="12"/>
  <c r="N18" i="12"/>
  <c r="M18" i="12"/>
  <c r="L19" i="12"/>
  <c r="N19" i="12"/>
  <c r="M19" i="12"/>
  <c r="I15" i="12"/>
  <c r="I16" i="12"/>
  <c r="I17" i="12"/>
  <c r="I18" i="12"/>
  <c r="I19" i="12"/>
  <c r="M10" i="12"/>
  <c r="M11" i="12"/>
  <c r="M12" i="12"/>
  <c r="M13" i="12"/>
  <c r="M14" i="12"/>
  <c r="L10" i="12"/>
  <c r="N10" i="12"/>
  <c r="L11" i="12"/>
  <c r="N11" i="12"/>
  <c r="L12" i="12"/>
  <c r="N12" i="12"/>
  <c r="L13" i="12"/>
  <c r="N13" i="12"/>
  <c r="L14" i="12"/>
  <c r="N14" i="12"/>
  <c r="I10" i="12"/>
  <c r="I11" i="12"/>
  <c r="I12" i="12"/>
  <c r="I13" i="12"/>
  <c r="I14" i="12"/>
  <c r="I5" i="12"/>
  <c r="AC87" i="1"/>
  <c r="AD87" i="1"/>
  <c r="AG87" i="1"/>
  <c r="AH87" i="1"/>
  <c r="AC88" i="1"/>
  <c r="AD88" i="1"/>
  <c r="AG88" i="1"/>
  <c r="AH88" i="1"/>
  <c r="AM88" i="1" s="1"/>
  <c r="AL88" i="1"/>
  <c r="AN88" i="1"/>
  <c r="AC89" i="1"/>
  <c r="AD89" i="1"/>
  <c r="AG89" i="1"/>
  <c r="AH89" i="1"/>
  <c r="AI89" i="1"/>
  <c r="AL89" i="1"/>
  <c r="AM89" i="1"/>
  <c r="AN89" i="1"/>
  <c r="AC90" i="1"/>
  <c r="AD90" i="1"/>
  <c r="AG90" i="1"/>
  <c r="AH90" i="1"/>
  <c r="AC91" i="1"/>
  <c r="AD91" i="1"/>
  <c r="AG91" i="1"/>
  <c r="AH91" i="1"/>
  <c r="AC92" i="1"/>
  <c r="AD92" i="1"/>
  <c r="AG92" i="1"/>
  <c r="AH92" i="1"/>
  <c r="AC93" i="1"/>
  <c r="AD93" i="1"/>
  <c r="AG93" i="1"/>
  <c r="AH93" i="1"/>
  <c r="AC94" i="1"/>
  <c r="AD94" i="1"/>
  <c r="AG94" i="1"/>
  <c r="AH94" i="1"/>
  <c r="AC95" i="1"/>
  <c r="AD95" i="1"/>
  <c r="AG95" i="1"/>
  <c r="AH95" i="1"/>
  <c r="AN95" i="1" s="1"/>
  <c r="AC96" i="1"/>
  <c r="AD96" i="1"/>
  <c r="AG96" i="1"/>
  <c r="AH96" i="1"/>
  <c r="AC97" i="1"/>
  <c r="AD97" i="1"/>
  <c r="AG97" i="1"/>
  <c r="AH97" i="1"/>
  <c r="AC98" i="1"/>
  <c r="AD98" i="1"/>
  <c r="AG98" i="1"/>
  <c r="AH98" i="1"/>
  <c r="AC99" i="1"/>
  <c r="AD99" i="1"/>
  <c r="AG99" i="1"/>
  <c r="AH99" i="1"/>
  <c r="AC100" i="1"/>
  <c r="AD100" i="1"/>
  <c r="AG100" i="1"/>
  <c r="AH100" i="1"/>
  <c r="AC101" i="1"/>
  <c r="AD101" i="1"/>
  <c r="AG101" i="1"/>
  <c r="AH101" i="1"/>
  <c r="AC102" i="1"/>
  <c r="AD102" i="1"/>
  <c r="AG102" i="1"/>
  <c r="AH102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AC71" i="1"/>
  <c r="AD71" i="1"/>
  <c r="AG71" i="1"/>
  <c r="AH71" i="1"/>
  <c r="AC72" i="1"/>
  <c r="AD72" i="1"/>
  <c r="AG72" i="1"/>
  <c r="AH72" i="1"/>
  <c r="AC73" i="1"/>
  <c r="AD73" i="1"/>
  <c r="AG73" i="1"/>
  <c r="AH73" i="1"/>
  <c r="AC74" i="1"/>
  <c r="AD74" i="1"/>
  <c r="AG74" i="1"/>
  <c r="AH74" i="1"/>
  <c r="AC75" i="1"/>
  <c r="AD75" i="1"/>
  <c r="AG75" i="1"/>
  <c r="AH75" i="1"/>
  <c r="AC76" i="1"/>
  <c r="AD76" i="1"/>
  <c r="AG76" i="1"/>
  <c r="AH76" i="1"/>
  <c r="AC77" i="1"/>
  <c r="AD77" i="1"/>
  <c r="AG77" i="1"/>
  <c r="AH77" i="1"/>
  <c r="AC78" i="1"/>
  <c r="AD78" i="1"/>
  <c r="AG78" i="1"/>
  <c r="AH78" i="1"/>
  <c r="AI78" i="1"/>
  <c r="AC79" i="1"/>
  <c r="AD79" i="1"/>
  <c r="AG79" i="1"/>
  <c r="AH79" i="1"/>
  <c r="AC80" i="1"/>
  <c r="AD80" i="1"/>
  <c r="AG80" i="1"/>
  <c r="AH80" i="1"/>
  <c r="AN80" i="1" s="1"/>
  <c r="AC81" i="1"/>
  <c r="AD81" i="1"/>
  <c r="AG81" i="1"/>
  <c r="AH81" i="1"/>
  <c r="AC82" i="1"/>
  <c r="AD82" i="1"/>
  <c r="AG82" i="1"/>
  <c r="AH82" i="1"/>
  <c r="AC83" i="1"/>
  <c r="AD83" i="1"/>
  <c r="AG83" i="1"/>
  <c r="AH83" i="1"/>
  <c r="AL83" i="1" s="1"/>
  <c r="AC84" i="1"/>
  <c r="AD84" i="1"/>
  <c r="AG84" i="1"/>
  <c r="AH84" i="1"/>
  <c r="AC85" i="1"/>
  <c r="AD85" i="1"/>
  <c r="AG85" i="1"/>
  <c r="AH85" i="1"/>
  <c r="AC86" i="1"/>
  <c r="AD86" i="1"/>
  <c r="AG86" i="1"/>
  <c r="AH86" i="1"/>
  <c r="AN86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71" i="1"/>
  <c r="D2" i="5"/>
  <c r="E2" i="5"/>
  <c r="F2" i="5"/>
  <c r="G2" i="5"/>
  <c r="H2" i="5"/>
  <c r="I2" i="5"/>
  <c r="D3" i="5"/>
  <c r="E3" i="5"/>
  <c r="F3" i="5"/>
  <c r="G3" i="5"/>
  <c r="H3" i="5"/>
  <c r="I3" i="5"/>
  <c r="D4" i="5"/>
  <c r="E4" i="5"/>
  <c r="F4" i="5"/>
  <c r="G4" i="5"/>
  <c r="H4" i="5"/>
  <c r="I4" i="5"/>
  <c r="C3" i="5"/>
  <c r="C4" i="5"/>
  <c r="C2" i="5"/>
  <c r="AC22" i="1"/>
  <c r="AC21" i="1"/>
  <c r="AC20" i="1"/>
  <c r="AC19" i="1"/>
  <c r="AC59" i="1"/>
  <c r="AD59" i="1"/>
  <c r="AG59" i="1"/>
  <c r="AH59" i="1"/>
  <c r="AC60" i="1"/>
  <c r="AD60" i="1"/>
  <c r="AG60" i="1"/>
  <c r="AH60" i="1"/>
  <c r="AM60" i="1" s="1"/>
  <c r="AC61" i="1"/>
  <c r="AD61" i="1"/>
  <c r="AG61" i="1"/>
  <c r="AH61" i="1"/>
  <c r="AC62" i="1"/>
  <c r="AD62" i="1"/>
  <c r="AG62" i="1"/>
  <c r="AH62" i="1"/>
  <c r="AC63" i="1"/>
  <c r="AD63" i="1"/>
  <c r="AG63" i="1"/>
  <c r="AH63" i="1"/>
  <c r="AC64" i="1"/>
  <c r="AD64" i="1"/>
  <c r="AG64" i="1"/>
  <c r="AH64" i="1"/>
  <c r="AC65" i="1"/>
  <c r="AD65" i="1"/>
  <c r="AG65" i="1"/>
  <c r="AH65" i="1"/>
  <c r="AC66" i="1"/>
  <c r="AD66" i="1"/>
  <c r="AG66" i="1"/>
  <c r="AH66" i="1"/>
  <c r="AC67" i="1"/>
  <c r="AD67" i="1"/>
  <c r="AG67" i="1"/>
  <c r="AH67" i="1"/>
  <c r="AC68" i="1"/>
  <c r="AD68" i="1"/>
  <c r="AG68" i="1"/>
  <c r="AH68" i="1"/>
  <c r="AC69" i="1"/>
  <c r="AD69" i="1"/>
  <c r="AG69" i="1"/>
  <c r="AH69" i="1"/>
  <c r="AC70" i="1"/>
  <c r="AD70" i="1"/>
  <c r="AG70" i="1"/>
  <c r="AH70" i="1"/>
  <c r="J59" i="1"/>
  <c r="J60" i="1"/>
  <c r="J61" i="1"/>
  <c r="J62" i="1"/>
  <c r="J63" i="1"/>
  <c r="J64" i="1"/>
  <c r="J65" i="1"/>
  <c r="J66" i="1"/>
  <c r="J67" i="1"/>
  <c r="J68" i="1"/>
  <c r="J69" i="1"/>
  <c r="J70" i="1"/>
  <c r="AC18" i="1"/>
  <c r="AC17" i="1"/>
  <c r="AC16" i="1"/>
  <c r="AC15" i="1"/>
  <c r="AC14" i="1"/>
  <c r="AC13" i="1"/>
  <c r="AC12" i="1"/>
  <c r="AD11" i="1"/>
  <c r="AG11" i="1"/>
  <c r="AH11" i="1"/>
  <c r="AJ11" i="1" s="1"/>
  <c r="AI11" i="1"/>
  <c r="AK11" i="1"/>
  <c r="AL11" i="1"/>
  <c r="AM11" i="1"/>
  <c r="AN11" i="1"/>
  <c r="AD12" i="1"/>
  <c r="AG12" i="1"/>
  <c r="AH12" i="1"/>
  <c r="AM12" i="1"/>
  <c r="AN12" i="1"/>
  <c r="AD13" i="1"/>
  <c r="AG13" i="1"/>
  <c r="AH13" i="1"/>
  <c r="AD14" i="1"/>
  <c r="AG14" i="1"/>
  <c r="AH14" i="1"/>
  <c r="AD15" i="1"/>
  <c r="AG15" i="1"/>
  <c r="AH15" i="1"/>
  <c r="AD16" i="1"/>
  <c r="AG16" i="1"/>
  <c r="AH16" i="1"/>
  <c r="AD17" i="1"/>
  <c r="AG17" i="1"/>
  <c r="AH17" i="1"/>
  <c r="AK17" i="1"/>
  <c r="AL17" i="1"/>
  <c r="AN17" i="1"/>
  <c r="AD18" i="1"/>
  <c r="AG18" i="1"/>
  <c r="AH18" i="1"/>
  <c r="AN18" i="1" s="1"/>
  <c r="AD19" i="1"/>
  <c r="AG19" i="1"/>
  <c r="AH19" i="1"/>
  <c r="AD20" i="1"/>
  <c r="AG20" i="1"/>
  <c r="AH20" i="1"/>
  <c r="AL20" i="1" s="1"/>
  <c r="AM20" i="1"/>
  <c r="AN20" i="1"/>
  <c r="AD21" i="1"/>
  <c r="AG21" i="1"/>
  <c r="AH21" i="1"/>
  <c r="AN21" i="1"/>
  <c r="AD22" i="1"/>
  <c r="AG22" i="1"/>
  <c r="AH22" i="1"/>
  <c r="AC11" i="1"/>
  <c r="J11" i="1"/>
  <c r="J12" i="1"/>
  <c r="J13" i="1"/>
  <c r="J14" i="1"/>
  <c r="J15" i="1"/>
  <c r="J16" i="1"/>
  <c r="J17" i="1"/>
  <c r="J18" i="1"/>
  <c r="J19" i="1"/>
  <c r="J20" i="1"/>
  <c r="J21" i="1"/>
  <c r="J22" i="1"/>
  <c r="AC34" i="1"/>
  <c r="AD34" i="1"/>
  <c r="AG34" i="1"/>
  <c r="AH34" i="1"/>
  <c r="AC35" i="1"/>
  <c r="AD35" i="1"/>
  <c r="AG35" i="1"/>
  <c r="AH35" i="1"/>
  <c r="AC36" i="1"/>
  <c r="AD36" i="1"/>
  <c r="AG36" i="1"/>
  <c r="AH36" i="1"/>
  <c r="AC37" i="1"/>
  <c r="AD37" i="1"/>
  <c r="AG37" i="1"/>
  <c r="AH37" i="1"/>
  <c r="AN37" i="1" s="1"/>
  <c r="AC38" i="1"/>
  <c r="AD38" i="1"/>
  <c r="AG38" i="1"/>
  <c r="AH38" i="1"/>
  <c r="AN38" i="1" s="1"/>
  <c r="AC39" i="1"/>
  <c r="AD39" i="1"/>
  <c r="AG39" i="1"/>
  <c r="AH39" i="1"/>
  <c r="AN39" i="1" s="1"/>
  <c r="AC40" i="1"/>
  <c r="AD40" i="1"/>
  <c r="AG40" i="1"/>
  <c r="AH40" i="1"/>
  <c r="AC41" i="1"/>
  <c r="AD41" i="1"/>
  <c r="AG41" i="1"/>
  <c r="AH41" i="1"/>
  <c r="AN41" i="1" s="1"/>
  <c r="AC42" i="1"/>
  <c r="AD42" i="1"/>
  <c r="AG42" i="1"/>
  <c r="AH42" i="1"/>
  <c r="AI42" i="1" s="1"/>
  <c r="AJ42" i="1"/>
  <c r="AK42" i="1"/>
  <c r="AL42" i="1"/>
  <c r="AM42" i="1"/>
  <c r="AN42" i="1"/>
  <c r="AC43" i="1"/>
  <c r="AD43" i="1"/>
  <c r="AG43" i="1"/>
  <c r="AH43" i="1"/>
  <c r="AC44" i="1"/>
  <c r="AD44" i="1"/>
  <c r="AG44" i="1"/>
  <c r="AH44" i="1"/>
  <c r="AC45" i="1"/>
  <c r="AD45" i="1"/>
  <c r="AG45" i="1"/>
  <c r="AH45" i="1"/>
  <c r="AI45" i="1"/>
  <c r="AC46" i="1"/>
  <c r="AD46" i="1"/>
  <c r="AG46" i="1"/>
  <c r="AH46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AC47" i="1"/>
  <c r="AD47" i="1"/>
  <c r="AG47" i="1"/>
  <c r="AH47" i="1"/>
  <c r="AI47" i="1" s="1"/>
  <c r="AC48" i="1"/>
  <c r="AD48" i="1"/>
  <c r="AG48" i="1"/>
  <c r="AH48" i="1"/>
  <c r="AC49" i="1"/>
  <c r="AD49" i="1"/>
  <c r="AG49" i="1"/>
  <c r="AH49" i="1"/>
  <c r="AN49" i="1" s="1"/>
  <c r="AC50" i="1"/>
  <c r="AD50" i="1"/>
  <c r="AG50" i="1"/>
  <c r="AH50" i="1"/>
  <c r="J47" i="1"/>
  <c r="J48" i="1"/>
  <c r="J49" i="1"/>
  <c r="J50" i="1"/>
  <c r="AC29" i="1"/>
  <c r="AD29" i="1"/>
  <c r="AG29" i="1"/>
  <c r="AH29" i="1"/>
  <c r="AI29" i="1"/>
  <c r="AC30" i="1"/>
  <c r="AD30" i="1"/>
  <c r="AG30" i="1"/>
  <c r="AH30" i="1"/>
  <c r="AC31" i="1"/>
  <c r="AD31" i="1"/>
  <c r="AG31" i="1"/>
  <c r="AH31" i="1"/>
  <c r="AC32" i="1"/>
  <c r="AD32" i="1"/>
  <c r="AG32" i="1"/>
  <c r="AH32" i="1"/>
  <c r="AC33" i="1"/>
  <c r="AD33" i="1"/>
  <c r="AG33" i="1"/>
  <c r="AH33" i="1"/>
  <c r="AC51" i="1"/>
  <c r="AD51" i="1"/>
  <c r="AG51" i="1"/>
  <c r="AH51" i="1"/>
  <c r="J29" i="1"/>
  <c r="J30" i="1"/>
  <c r="J31" i="1"/>
  <c r="J32" i="1"/>
  <c r="J33" i="1"/>
  <c r="J51" i="1"/>
  <c r="J52" i="1"/>
  <c r="J53" i="1"/>
  <c r="J54" i="1"/>
  <c r="J55" i="1"/>
  <c r="J56" i="1"/>
  <c r="J57" i="1"/>
  <c r="J58" i="1"/>
  <c r="AC52" i="1"/>
  <c r="AD52" i="1"/>
  <c r="AG52" i="1"/>
  <c r="AH52" i="1"/>
  <c r="AG57" i="1"/>
  <c r="AG58" i="1"/>
  <c r="AH58" i="1"/>
  <c r="AD58" i="1"/>
  <c r="AC58" i="1"/>
  <c r="AH57" i="1"/>
  <c r="AD57" i="1"/>
  <c r="AC57" i="1"/>
  <c r="AC56" i="1"/>
  <c r="AD56" i="1"/>
  <c r="AG56" i="1"/>
  <c r="AH56" i="1"/>
  <c r="AN56" i="1" s="1"/>
  <c r="AC55" i="1"/>
  <c r="AD55" i="1"/>
  <c r="AG55" i="1"/>
  <c r="AH55" i="1"/>
  <c r="AC54" i="1"/>
  <c r="AD54" i="1"/>
  <c r="AG54" i="1"/>
  <c r="AH54" i="1"/>
  <c r="AG9" i="1"/>
  <c r="AD9" i="1"/>
  <c r="J9" i="1"/>
  <c r="AC9" i="1"/>
  <c r="AH9" i="1"/>
  <c r="AG10" i="1"/>
  <c r="AD10" i="1"/>
  <c r="J10" i="1"/>
  <c r="AC10" i="1"/>
  <c r="AH10" i="1"/>
  <c r="AH28" i="1"/>
  <c r="AI28" i="1" s="1"/>
  <c r="AG28" i="1"/>
  <c r="AD28" i="1"/>
  <c r="J28" i="1"/>
  <c r="AC28" i="1"/>
  <c r="AH27" i="1"/>
  <c r="AG27" i="1"/>
  <c r="AD27" i="1"/>
  <c r="AC27" i="1"/>
  <c r="J27" i="1"/>
  <c r="AH26" i="1"/>
  <c r="AG26" i="1"/>
  <c r="AD26" i="1"/>
  <c r="J26" i="1"/>
  <c r="AC26" i="1"/>
  <c r="J25" i="1"/>
  <c r="AG25" i="1"/>
  <c r="AH25" i="1"/>
  <c r="AD25" i="1"/>
  <c r="AC25" i="1"/>
  <c r="AG23" i="1"/>
  <c r="AG24" i="1"/>
  <c r="AG53" i="1"/>
  <c r="AG8" i="1"/>
  <c r="AG5" i="1"/>
  <c r="AG6" i="1"/>
  <c r="AG4" i="1"/>
  <c r="AG7" i="1" s="1"/>
  <c r="I7" i="1"/>
  <c r="K7" i="1"/>
  <c r="L7" i="1"/>
  <c r="AC5" i="1"/>
  <c r="AD5" i="1"/>
  <c r="AC6" i="1"/>
  <c r="AD6" i="1"/>
  <c r="AC8" i="1"/>
  <c r="AD8" i="1"/>
  <c r="AC23" i="1"/>
  <c r="AD23" i="1"/>
  <c r="AC24" i="1"/>
  <c r="AD24" i="1"/>
  <c r="AC53" i="1"/>
  <c r="AD53" i="1"/>
  <c r="J5" i="1"/>
  <c r="J6" i="1"/>
  <c r="J8" i="1"/>
  <c r="J23" i="1"/>
  <c r="J24" i="1"/>
  <c r="AD4" i="1"/>
  <c r="AC4" i="1"/>
  <c r="J4" i="1"/>
  <c r="AH24" i="1"/>
  <c r="AI24" i="1" s="1"/>
  <c r="AH23" i="1"/>
  <c r="AI23" i="1" s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H7" i="1"/>
  <c r="AH5" i="1"/>
  <c r="AI5" i="1" s="1"/>
  <c r="AH6" i="1"/>
  <c r="AI6" i="1" s="1"/>
  <c r="AH8" i="1"/>
  <c r="AI8" i="1" s="1"/>
  <c r="AH53" i="1"/>
  <c r="AI53" i="1" s="1"/>
  <c r="AH4" i="1"/>
  <c r="AI4" i="1" s="1"/>
  <c r="M13" i="21" l="1"/>
  <c r="M12" i="21"/>
  <c r="O13" i="21"/>
  <c r="O12" i="21"/>
  <c r="P13" i="21"/>
  <c r="P12" i="21"/>
  <c r="L13" i="21"/>
  <c r="AC13" i="21" s="1"/>
  <c r="L12" i="21"/>
  <c r="N12" i="21" s="1"/>
  <c r="Q13" i="21"/>
  <c r="N13" i="21"/>
  <c r="AB13" i="21"/>
  <c r="M23" i="22"/>
  <c r="P14" i="21"/>
  <c r="AH40" i="21"/>
  <c r="AI40" i="21"/>
  <c r="AJ40" i="21"/>
  <c r="AJ31" i="21"/>
  <c r="AK31" i="21"/>
  <c r="P60" i="22"/>
  <c r="P114" i="22"/>
  <c r="P8" i="22"/>
  <c r="P24" i="22"/>
  <c r="P150" i="22"/>
  <c r="P35" i="22"/>
  <c r="I23" i="22"/>
  <c r="L23" i="22"/>
  <c r="P87" i="22"/>
  <c r="Q11" i="21"/>
  <c r="AI35" i="21"/>
  <c r="AK35" i="21"/>
  <c r="AJ26" i="21"/>
  <c r="AK26" i="21"/>
  <c r="AJ16" i="21"/>
  <c r="AK16" i="21"/>
  <c r="AJ18" i="21"/>
  <c r="AK18" i="21"/>
  <c r="AJ37" i="21"/>
  <c r="AI37" i="21"/>
  <c r="AH37" i="21"/>
  <c r="AK37" i="21"/>
  <c r="AI38" i="21"/>
  <c r="AK38" i="21"/>
  <c r="AJ38" i="21"/>
  <c r="AH38" i="21"/>
  <c r="AL38" i="21" s="1"/>
  <c r="AJ41" i="21"/>
  <c r="AK41" i="21"/>
  <c r="AK44" i="21"/>
  <c r="AJ44" i="21"/>
  <c r="AI44" i="21"/>
  <c r="AH44" i="21"/>
  <c r="AL44" i="21" s="1"/>
  <c r="AH47" i="21"/>
  <c r="AJ47" i="21"/>
  <c r="AI47" i="21"/>
  <c r="AK47" i="21"/>
  <c r="AI27" i="21"/>
  <c r="AH27" i="21"/>
  <c r="AJ27" i="21"/>
  <c r="AJ30" i="21"/>
  <c r="AK30" i="21"/>
  <c r="AI45" i="21"/>
  <c r="AK45" i="21"/>
  <c r="AJ45" i="21"/>
  <c r="AL47" i="21"/>
  <c r="AH35" i="21"/>
  <c r="AJ35" i="21"/>
  <c r="AH26" i="21"/>
  <c r="AI26" i="21"/>
  <c r="AK28" i="21"/>
  <c r="AH28" i="21"/>
  <c r="AI28" i="21"/>
  <c r="AJ28" i="21"/>
  <c r="AL40" i="21"/>
  <c r="AH41" i="21"/>
  <c r="AI41" i="21"/>
  <c r="AH43" i="21"/>
  <c r="AK43" i="21"/>
  <c r="AJ43" i="21"/>
  <c r="AI43" i="21"/>
  <c r="AI46" i="21"/>
  <c r="AK46" i="21"/>
  <c r="AJ46" i="21"/>
  <c r="AH46" i="21"/>
  <c r="AH29" i="21"/>
  <c r="AI29" i="21"/>
  <c r="AJ29" i="21"/>
  <c r="AH24" i="21"/>
  <c r="AI24" i="21"/>
  <c r="AJ24" i="21"/>
  <c r="AI19" i="21"/>
  <c r="AH19" i="21"/>
  <c r="AJ19" i="21"/>
  <c r="AK19" i="21"/>
  <c r="AJ20" i="21"/>
  <c r="AH20" i="21"/>
  <c r="AI20" i="21"/>
  <c r="AK20" i="21"/>
  <c r="AK15" i="21"/>
  <c r="AJ15" i="21"/>
  <c r="AH18" i="21"/>
  <c r="AI18" i="21"/>
  <c r="AI30" i="21"/>
  <c r="AH30" i="21"/>
  <c r="AI31" i="21"/>
  <c r="AH31" i="21"/>
  <c r="AH32" i="21"/>
  <c r="AK32" i="21"/>
  <c r="AJ32" i="21"/>
  <c r="AJ33" i="21"/>
  <c r="AI33" i="21"/>
  <c r="AH33" i="21"/>
  <c r="AK33" i="21"/>
  <c r="AJ34" i="21"/>
  <c r="AK34" i="21"/>
  <c r="AH34" i="21"/>
  <c r="AI34" i="21"/>
  <c r="AK14" i="21"/>
  <c r="AJ14" i="21"/>
  <c r="AI16" i="21"/>
  <c r="AH16" i="21"/>
  <c r="AL16" i="21" s="1"/>
  <c r="AB11" i="21"/>
  <c r="AC11" i="21"/>
  <c r="AE13" i="21" s="1"/>
  <c r="AG11" i="21"/>
  <c r="AI21" i="21"/>
  <c r="AJ21" i="21"/>
  <c r="AK21" i="21"/>
  <c r="AH21" i="21"/>
  <c r="AH14" i="21"/>
  <c r="AI14" i="21"/>
  <c r="AH15" i="21"/>
  <c r="AI15" i="21"/>
  <c r="AH17" i="21"/>
  <c r="AJ17" i="21"/>
  <c r="AI17" i="21"/>
  <c r="AL18" i="21"/>
  <c r="N11" i="21"/>
  <c r="AH23" i="21"/>
  <c r="AJ23" i="21"/>
  <c r="AI23" i="21"/>
  <c r="AK23" i="21"/>
  <c r="AF11" i="21"/>
  <c r="AK8" i="21"/>
  <c r="AI8" i="21"/>
  <c r="AH8" i="21"/>
  <c r="AL8" i="21" s="1"/>
  <c r="AJ10" i="21"/>
  <c r="AH10" i="21"/>
  <c r="AI10" i="21"/>
  <c r="AL10" i="21"/>
  <c r="AJ7" i="21"/>
  <c r="AI7" i="21"/>
  <c r="AK7" i="21"/>
  <c r="AH7" i="21"/>
  <c r="AL7" i="21" s="1"/>
  <c r="P69" i="20"/>
  <c r="P208" i="20"/>
  <c r="P20" i="20"/>
  <c r="P147" i="20"/>
  <c r="I7" i="20"/>
  <c r="L7" i="20"/>
  <c r="P240" i="20"/>
  <c r="P239" i="20"/>
  <c r="P238" i="20"/>
  <c r="P237" i="20"/>
  <c r="P236" i="20"/>
  <c r="P235" i="20"/>
  <c r="P233" i="20"/>
  <c r="P232" i="20"/>
  <c r="P231" i="20"/>
  <c r="P230" i="20"/>
  <c r="P229" i="20"/>
  <c r="P225" i="20"/>
  <c r="P223" i="20"/>
  <c r="P222" i="20"/>
  <c r="P220" i="20"/>
  <c r="P216" i="20"/>
  <c r="P211" i="20"/>
  <c r="P160" i="20"/>
  <c r="P159" i="20"/>
  <c r="P158" i="20"/>
  <c r="P157" i="20"/>
  <c r="P155" i="20"/>
  <c r="P154" i="20"/>
  <c r="P153" i="20"/>
  <c r="P152" i="20"/>
  <c r="P151" i="20"/>
  <c r="P150" i="20"/>
  <c r="P149" i="20"/>
  <c r="P148" i="20"/>
  <c r="P146" i="20"/>
  <c r="P145" i="20"/>
  <c r="P144" i="20"/>
  <c r="P143" i="20"/>
  <c r="P142" i="20"/>
  <c r="P141" i="20"/>
  <c r="P140" i="20"/>
  <c r="P139" i="20"/>
  <c r="P138" i="20"/>
  <c r="P137" i="20"/>
  <c r="P136" i="20"/>
  <c r="P135" i="20"/>
  <c r="P134" i="20"/>
  <c r="P133" i="20"/>
  <c r="P132" i="20"/>
  <c r="P131" i="20"/>
  <c r="P129" i="20"/>
  <c r="P128" i="20"/>
  <c r="P127" i="20"/>
  <c r="P126" i="20"/>
  <c r="P125" i="20"/>
  <c r="P124" i="20"/>
  <c r="P123" i="20"/>
  <c r="P122" i="20"/>
  <c r="P121" i="20"/>
  <c r="P120" i="20"/>
  <c r="P119" i="20"/>
  <c r="P118" i="20"/>
  <c r="P117" i="20"/>
  <c r="P116" i="20"/>
  <c r="P115" i="20"/>
  <c r="P114" i="20"/>
  <c r="P113" i="20"/>
  <c r="P83" i="20"/>
  <c r="P82" i="20"/>
  <c r="P81" i="20"/>
  <c r="P80" i="20"/>
  <c r="P79" i="20"/>
  <c r="P78" i="20"/>
  <c r="P77" i="20"/>
  <c r="P76" i="20"/>
  <c r="P75" i="20"/>
  <c r="P74" i="20"/>
  <c r="P73" i="20"/>
  <c r="P71" i="20"/>
  <c r="P70" i="20"/>
  <c r="P68" i="20"/>
  <c r="P67" i="20"/>
  <c r="P66" i="20"/>
  <c r="P58" i="20"/>
  <c r="P57" i="20"/>
  <c r="P56" i="20"/>
  <c r="P50" i="20"/>
  <c r="P49" i="20"/>
  <c r="P48" i="20"/>
  <c r="P47" i="20"/>
  <c r="P46" i="20"/>
  <c r="P45" i="20"/>
  <c r="P44" i="20"/>
  <c r="P43" i="20"/>
  <c r="P42" i="20"/>
  <c r="P41" i="20"/>
  <c r="P40" i="20"/>
  <c r="P39" i="20"/>
  <c r="P38" i="20"/>
  <c r="P37" i="20"/>
  <c r="P36" i="20"/>
  <c r="P35" i="20"/>
  <c r="P33" i="20"/>
  <c r="P32" i="20"/>
  <c r="P31" i="20"/>
  <c r="P29" i="20"/>
  <c r="P27" i="20"/>
  <c r="P18" i="20"/>
  <c r="P17" i="20"/>
  <c r="P16" i="20"/>
  <c r="P15" i="20"/>
  <c r="P14" i="20"/>
  <c r="P13" i="20"/>
  <c r="P12" i="20"/>
  <c r="P11" i="20"/>
  <c r="P10" i="20"/>
  <c r="P8" i="20"/>
  <c r="P112" i="20"/>
  <c r="P111" i="20"/>
  <c r="P110" i="20"/>
  <c r="P109" i="20"/>
  <c r="P108" i="20"/>
  <c r="P107" i="20"/>
  <c r="P106" i="20"/>
  <c r="P105" i="20"/>
  <c r="P104" i="20"/>
  <c r="P103" i="20"/>
  <c r="P102" i="20"/>
  <c r="P101" i="20"/>
  <c r="P100" i="20"/>
  <c r="P99" i="20"/>
  <c r="P98" i="20"/>
  <c r="P97" i="20"/>
  <c r="P96" i="20"/>
  <c r="P95" i="20"/>
  <c r="P94" i="20"/>
  <c r="P93" i="20"/>
  <c r="P92" i="20"/>
  <c r="P91" i="20"/>
  <c r="P90" i="20"/>
  <c r="P89" i="20"/>
  <c r="P88" i="20"/>
  <c r="P87" i="20"/>
  <c r="P86" i="20"/>
  <c r="P84" i="20"/>
  <c r="P65" i="20"/>
  <c r="P64" i="20"/>
  <c r="P63" i="20"/>
  <c r="P62" i="20"/>
  <c r="P61" i="20"/>
  <c r="P60" i="20"/>
  <c r="P59" i="20"/>
  <c r="P55" i="20"/>
  <c r="P54" i="20"/>
  <c r="P53" i="20"/>
  <c r="P52" i="20"/>
  <c r="P51" i="20"/>
  <c r="P34" i="20"/>
  <c r="P30" i="20"/>
  <c r="P26" i="20"/>
  <c r="P25" i="20"/>
  <c r="P24" i="20"/>
  <c r="P23" i="20"/>
  <c r="P22" i="20"/>
  <c r="P21" i="20"/>
  <c r="P19" i="20"/>
  <c r="P9" i="20"/>
  <c r="P28" i="20"/>
  <c r="P234" i="20"/>
  <c r="P227" i="20"/>
  <c r="P224" i="20"/>
  <c r="P221" i="20"/>
  <c r="P217" i="20"/>
  <c r="P212" i="20"/>
  <c r="P302" i="20"/>
  <c r="P301" i="20"/>
  <c r="P300" i="20"/>
  <c r="P299" i="20"/>
  <c r="P298" i="20"/>
  <c r="P297" i="20"/>
  <c r="P296" i="20"/>
  <c r="P295" i="20"/>
  <c r="P294" i="20"/>
  <c r="P293" i="20"/>
  <c r="P292" i="20"/>
  <c r="P291" i="20"/>
  <c r="P290" i="20"/>
  <c r="P289" i="20"/>
  <c r="P288" i="20"/>
  <c r="P287" i="20"/>
  <c r="P286" i="20"/>
  <c r="P285" i="20"/>
  <c r="P284" i="20"/>
  <c r="P283" i="20"/>
  <c r="P282" i="20"/>
  <c r="P281" i="20"/>
  <c r="P280" i="20"/>
  <c r="P279" i="20"/>
  <c r="P278" i="20"/>
  <c r="P277" i="20"/>
  <c r="P276" i="20"/>
  <c r="P275" i="20"/>
  <c r="P274" i="20"/>
  <c r="P273" i="20"/>
  <c r="P228" i="20"/>
  <c r="P226" i="20"/>
  <c r="P218" i="20"/>
  <c r="P215" i="20"/>
  <c r="P214" i="20"/>
  <c r="P213" i="20"/>
  <c r="P219" i="20"/>
  <c r="AI108" i="1"/>
  <c r="AJ108" i="1"/>
  <c r="AT108" i="1" s="1"/>
  <c r="AS111" i="1"/>
  <c r="AO111" i="1"/>
  <c r="AY111" i="1" s="1"/>
  <c r="AP111" i="1"/>
  <c r="AQ111" i="1" s="1"/>
  <c r="AR111" i="1"/>
  <c r="AI112" i="1"/>
  <c r="AL112" i="1"/>
  <c r="AV112" i="1" s="1"/>
  <c r="AN112" i="1"/>
  <c r="AX112" i="1" s="1"/>
  <c r="AM112" i="1"/>
  <c r="AW112" i="1" s="1"/>
  <c r="AJ112" i="1"/>
  <c r="AT112" i="1" s="1"/>
  <c r="AK112" i="1"/>
  <c r="AU112" i="1" s="1"/>
  <c r="AN113" i="1"/>
  <c r="AX113" i="1" s="1"/>
  <c r="AJ113" i="1"/>
  <c r="AT113" i="1" s="1"/>
  <c r="AK113" i="1"/>
  <c r="AU113" i="1" s="1"/>
  <c r="AM113" i="1"/>
  <c r="AW113" i="1" s="1"/>
  <c r="AI113" i="1"/>
  <c r="AL113" i="1"/>
  <c r="AV113" i="1" s="1"/>
  <c r="AL114" i="1"/>
  <c r="AV114" i="1" s="1"/>
  <c r="AK114" i="1"/>
  <c r="AU114" i="1" s="1"/>
  <c r="AJ114" i="1"/>
  <c r="AT114" i="1" s="1"/>
  <c r="AN114" i="1"/>
  <c r="AX114" i="1" s="1"/>
  <c r="AM114" i="1"/>
  <c r="AW114" i="1" s="1"/>
  <c r="AI114" i="1"/>
  <c r="AR103" i="1"/>
  <c r="AS103" i="1"/>
  <c r="AO103" i="1"/>
  <c r="AI104" i="1"/>
  <c r="AK104" i="1"/>
  <c r="AU104" i="1" s="1"/>
  <c r="AN104" i="1"/>
  <c r="AX104" i="1" s="1"/>
  <c r="AJ104" i="1"/>
  <c r="AT104" i="1" s="1"/>
  <c r="AI105" i="1"/>
  <c r="AL105" i="1"/>
  <c r="AV105" i="1" s="1"/>
  <c r="AM105" i="1"/>
  <c r="AW105" i="1" s="1"/>
  <c r="AN105" i="1"/>
  <c r="AX105" i="1" s="1"/>
  <c r="AK105" i="1"/>
  <c r="AU105" i="1" s="1"/>
  <c r="AJ105" i="1"/>
  <c r="AT105" i="1" s="1"/>
  <c r="AK106" i="1"/>
  <c r="AU106" i="1" s="1"/>
  <c r="AN106" i="1"/>
  <c r="AX106" i="1" s="1"/>
  <c r="AJ106" i="1"/>
  <c r="AT106" i="1" s="1"/>
  <c r="AL106" i="1"/>
  <c r="AV106" i="1" s="1"/>
  <c r="AI106" i="1"/>
  <c r="AM106" i="1"/>
  <c r="AW106" i="1" s="1"/>
  <c r="AM107" i="1"/>
  <c r="AW107" i="1" s="1"/>
  <c r="AN107" i="1"/>
  <c r="AX107" i="1" s="1"/>
  <c r="AL107" i="1"/>
  <c r="AV107" i="1" s="1"/>
  <c r="AK107" i="1"/>
  <c r="AU107" i="1" s="1"/>
  <c r="AJ107" i="1"/>
  <c r="AT107" i="1" s="1"/>
  <c r="AI107" i="1"/>
  <c r="AS108" i="1"/>
  <c r="AO108" i="1"/>
  <c r="AY108" i="1" s="1"/>
  <c r="AR108" i="1"/>
  <c r="AP108" i="1"/>
  <c r="AQ108" i="1" s="1"/>
  <c r="AL109" i="1"/>
  <c r="AV109" i="1" s="1"/>
  <c r="AI109" i="1"/>
  <c r="AJ109" i="1"/>
  <c r="AT109" i="1" s="1"/>
  <c r="AK109" i="1"/>
  <c r="AU109" i="1" s="1"/>
  <c r="AP110" i="1"/>
  <c r="AQ110" i="1" s="1"/>
  <c r="AO110" i="1"/>
  <c r="AY110" i="1" s="1"/>
  <c r="AS110" i="1"/>
  <c r="AR110" i="1"/>
  <c r="AI86" i="1"/>
  <c r="AM86" i="1"/>
  <c r="AL86" i="1"/>
  <c r="P271" i="12"/>
  <c r="P270" i="12"/>
  <c r="P269" i="12"/>
  <c r="P268" i="12"/>
  <c r="P267" i="12"/>
  <c r="P266" i="12"/>
  <c r="P265" i="12"/>
  <c r="P261" i="12"/>
  <c r="P260" i="12"/>
  <c r="P259" i="12"/>
  <c r="P258" i="12"/>
  <c r="P256" i="12"/>
  <c r="P255" i="12"/>
  <c r="P254" i="12"/>
  <c r="P253" i="12"/>
  <c r="P252" i="12"/>
  <c r="P251" i="12"/>
  <c r="P249" i="12"/>
  <c r="P248" i="12"/>
  <c r="P244" i="12"/>
  <c r="P246" i="12"/>
  <c r="P247" i="12"/>
  <c r="P245" i="12"/>
  <c r="P243" i="12"/>
  <c r="P263" i="12"/>
  <c r="P250" i="12"/>
  <c r="P262" i="12"/>
  <c r="P242" i="12"/>
  <c r="P257" i="12"/>
  <c r="P264" i="12"/>
  <c r="P240" i="12"/>
  <c r="P302" i="12"/>
  <c r="P238" i="12"/>
  <c r="P239" i="12"/>
  <c r="P66" i="12"/>
  <c r="P284" i="12"/>
  <c r="P222" i="12"/>
  <c r="P65" i="12"/>
  <c r="P64" i="12"/>
  <c r="P214" i="12"/>
  <c r="P223" i="12"/>
  <c r="P224" i="12"/>
  <c r="P67" i="12"/>
  <c r="P68" i="12"/>
  <c r="P69" i="12"/>
  <c r="P70" i="12"/>
  <c r="P71" i="12"/>
  <c r="P283" i="12"/>
  <c r="P299" i="12"/>
  <c r="P279" i="12"/>
  <c r="P285" i="12"/>
  <c r="P221" i="12"/>
  <c r="P220" i="12"/>
  <c r="P219" i="12"/>
  <c r="P218" i="12"/>
  <c r="P217" i="12"/>
  <c r="P216" i="12"/>
  <c r="P215" i="12"/>
  <c r="P276" i="12"/>
  <c r="P277" i="12"/>
  <c r="P278" i="12"/>
  <c r="P280" i="12"/>
  <c r="P281" i="12"/>
  <c r="P282" i="12"/>
  <c r="P286" i="12"/>
  <c r="P287" i="12"/>
  <c r="P288" i="12"/>
  <c r="P289" i="12"/>
  <c r="P290" i="12"/>
  <c r="P291" i="12"/>
  <c r="P293" i="12"/>
  <c r="P294" i="12"/>
  <c r="P295" i="12"/>
  <c r="P296" i="12"/>
  <c r="P297" i="12"/>
  <c r="P298" i="12"/>
  <c r="P300" i="12"/>
  <c r="P301" i="12"/>
  <c r="P273" i="12"/>
  <c r="P274" i="12"/>
  <c r="P275" i="12"/>
  <c r="P292" i="12"/>
  <c r="P237" i="12"/>
  <c r="P236" i="12"/>
  <c r="P235" i="12"/>
  <c r="P234" i="12"/>
  <c r="P233" i="12"/>
  <c r="P232" i="12"/>
  <c r="P231" i="12"/>
  <c r="P229" i="12"/>
  <c r="P213" i="12"/>
  <c r="P212" i="12"/>
  <c r="P211" i="12"/>
  <c r="P230" i="12"/>
  <c r="P227" i="12"/>
  <c r="P226" i="12"/>
  <c r="P228" i="12"/>
  <c r="P225" i="12"/>
  <c r="P61" i="12"/>
  <c r="P62" i="12"/>
  <c r="P63" i="12"/>
  <c r="P127" i="12"/>
  <c r="P128" i="12"/>
  <c r="P129" i="12"/>
  <c r="P57" i="12"/>
  <c r="P58" i="12"/>
  <c r="P59" i="12"/>
  <c r="P60" i="12"/>
  <c r="P155" i="12"/>
  <c r="P203" i="12"/>
  <c r="P172" i="12"/>
  <c r="P197" i="12"/>
  <c r="P199" i="12"/>
  <c r="P200" i="12"/>
  <c r="P171" i="12"/>
  <c r="P196" i="12"/>
  <c r="P179" i="12"/>
  <c r="P180" i="12"/>
  <c r="P181" i="12"/>
  <c r="P182" i="12"/>
  <c r="P183" i="12"/>
  <c r="P184" i="12"/>
  <c r="P185" i="12"/>
  <c r="P186" i="12"/>
  <c r="P187" i="12"/>
  <c r="P188" i="12"/>
  <c r="P189" i="12"/>
  <c r="P190" i="12"/>
  <c r="P191" i="12"/>
  <c r="P192" i="12"/>
  <c r="P193" i="12"/>
  <c r="P194" i="12"/>
  <c r="P195" i="12"/>
  <c r="P198" i="12"/>
  <c r="P204" i="12"/>
  <c r="P205" i="12"/>
  <c r="P206" i="12"/>
  <c r="P201" i="12"/>
  <c r="P202" i="12"/>
  <c r="P176" i="12"/>
  <c r="P175" i="12"/>
  <c r="P174" i="12"/>
  <c r="P177" i="12"/>
  <c r="P178" i="12"/>
  <c r="P170" i="12"/>
  <c r="P169" i="12"/>
  <c r="P157" i="12"/>
  <c r="P160" i="12"/>
  <c r="P164" i="12"/>
  <c r="P154" i="12"/>
  <c r="P158" i="12"/>
  <c r="P159" i="12"/>
  <c r="P161" i="12"/>
  <c r="P162" i="12"/>
  <c r="P163" i="12"/>
  <c r="P165" i="12"/>
  <c r="P166" i="12"/>
  <c r="P167" i="12"/>
  <c r="P168" i="12"/>
  <c r="P139" i="12"/>
  <c r="P153" i="12"/>
  <c r="AR11" i="1"/>
  <c r="AO11" i="1"/>
  <c r="AP11" i="1" s="1"/>
  <c r="AQ11" i="1" s="1"/>
  <c r="AI12" i="1"/>
  <c r="AJ12" i="1"/>
  <c r="AK12" i="1"/>
  <c r="AL12" i="1"/>
  <c r="AI21" i="1"/>
  <c r="AM21" i="1"/>
  <c r="AN22" i="1"/>
  <c r="AM22" i="1"/>
  <c r="AL22" i="1"/>
  <c r="AM99" i="1"/>
  <c r="AN99" i="1"/>
  <c r="AK73" i="1"/>
  <c r="AM73" i="1"/>
  <c r="AN73" i="1"/>
  <c r="AL73" i="1"/>
  <c r="AJ78" i="1"/>
  <c r="AK78" i="1"/>
  <c r="AL78" i="1"/>
  <c r="AM78" i="1"/>
  <c r="AN78" i="1"/>
  <c r="AM85" i="1"/>
  <c r="AN85" i="1"/>
  <c r="AK86" i="1"/>
  <c r="AJ86" i="1"/>
  <c r="AL45" i="1"/>
  <c r="AJ45" i="1"/>
  <c r="AK45" i="1"/>
  <c r="AN45" i="1"/>
  <c r="AM45" i="1"/>
  <c r="P151" i="12"/>
  <c r="P152" i="12"/>
  <c r="AR42" i="1"/>
  <c r="AO45" i="1"/>
  <c r="AJ87" i="1"/>
  <c r="AK87" i="1"/>
  <c r="AL87" i="1"/>
  <c r="AN87" i="1"/>
  <c r="AI87" i="1"/>
  <c r="AM87" i="1"/>
  <c r="AI88" i="1"/>
  <c r="AJ88" i="1"/>
  <c r="AK88" i="1"/>
  <c r="AN90" i="1"/>
  <c r="AM90" i="1"/>
  <c r="AN91" i="1"/>
  <c r="AK91" i="1"/>
  <c r="AI91" i="1"/>
  <c r="AJ91" i="1"/>
  <c r="AL91" i="1"/>
  <c r="AM91" i="1"/>
  <c r="AM94" i="1"/>
  <c r="AL94" i="1"/>
  <c r="AN94" i="1"/>
  <c r="AK96" i="1"/>
  <c r="AM96" i="1"/>
  <c r="AL96" i="1"/>
  <c r="AN96" i="1"/>
  <c r="AL97" i="1"/>
  <c r="AK97" i="1"/>
  <c r="AN97" i="1"/>
  <c r="AM97" i="1"/>
  <c r="AN98" i="1"/>
  <c r="AM98" i="1"/>
  <c r="AK99" i="1"/>
  <c r="AL99" i="1"/>
  <c r="AM100" i="1"/>
  <c r="AN100" i="1"/>
  <c r="AN101" i="1"/>
  <c r="AM101" i="1"/>
  <c r="AN102" i="1"/>
  <c r="AK102" i="1"/>
  <c r="AI102" i="1"/>
  <c r="AM102" i="1"/>
  <c r="AL102" i="1"/>
  <c r="AJ102" i="1"/>
  <c r="AK71" i="1"/>
  <c r="AM71" i="1"/>
  <c r="AJ71" i="1"/>
  <c r="AN71" i="1"/>
  <c r="AI71" i="1"/>
  <c r="AL71" i="1"/>
  <c r="AI80" i="1"/>
  <c r="AK80" i="1"/>
  <c r="AL80" i="1"/>
  <c r="AJ80" i="1"/>
  <c r="AM80" i="1"/>
  <c r="AM82" i="1"/>
  <c r="AN82" i="1"/>
  <c r="AL82" i="1"/>
  <c r="AK83" i="1"/>
  <c r="AM83" i="1"/>
  <c r="AN83" i="1"/>
  <c r="AL84" i="1"/>
  <c r="AI84" i="1"/>
  <c r="AN84" i="1"/>
  <c r="AM84" i="1"/>
  <c r="AJ85" i="1"/>
  <c r="AL85" i="1"/>
  <c r="AI85" i="1"/>
  <c r="AK85" i="1"/>
  <c r="P149" i="12"/>
  <c r="P148" i="12"/>
  <c r="P150" i="12"/>
  <c r="P147" i="12"/>
  <c r="P138" i="12"/>
  <c r="P140" i="12"/>
  <c r="P142" i="12"/>
  <c r="P145" i="12"/>
  <c r="P131" i="12"/>
  <c r="P132" i="12"/>
  <c r="P133" i="12"/>
  <c r="P134" i="12"/>
  <c r="P135" i="12"/>
  <c r="P136" i="12"/>
  <c r="P137" i="12"/>
  <c r="P141" i="12"/>
  <c r="P143" i="12"/>
  <c r="P144" i="12"/>
  <c r="P146" i="12"/>
  <c r="P101" i="12"/>
  <c r="P124" i="12"/>
  <c r="P122" i="12"/>
  <c r="P120" i="12"/>
  <c r="P119" i="12"/>
  <c r="P117" i="12"/>
  <c r="P126" i="12"/>
  <c r="P125" i="12"/>
  <c r="P123" i="12"/>
  <c r="P121" i="12"/>
  <c r="P118" i="12"/>
  <c r="P106" i="12"/>
  <c r="P116" i="12"/>
  <c r="P115" i="12"/>
  <c r="P114" i="12"/>
  <c r="P113" i="12"/>
  <c r="P112" i="12"/>
  <c r="P97" i="12"/>
  <c r="P98" i="12"/>
  <c r="P99" i="12"/>
  <c r="P100" i="12"/>
  <c r="P111" i="12"/>
  <c r="P87" i="12"/>
  <c r="P110" i="12"/>
  <c r="P109" i="12"/>
  <c r="P108" i="12"/>
  <c r="P107" i="12"/>
  <c r="P89" i="12"/>
  <c r="P90" i="12"/>
  <c r="P91" i="12"/>
  <c r="P102" i="12"/>
  <c r="P84" i="12"/>
  <c r="P86" i="12"/>
  <c r="P88" i="12"/>
  <c r="P92" i="12"/>
  <c r="P93" i="12"/>
  <c r="P94" i="12"/>
  <c r="P95" i="12"/>
  <c r="P96" i="12"/>
  <c r="P103" i="12"/>
  <c r="P104" i="12"/>
  <c r="P105" i="12"/>
  <c r="P83" i="12"/>
  <c r="P82" i="12"/>
  <c r="P80" i="12"/>
  <c r="P78" i="12"/>
  <c r="P79" i="12"/>
  <c r="P81" i="12"/>
  <c r="P75" i="12"/>
  <c r="P76" i="12"/>
  <c r="P77" i="12"/>
  <c r="P73" i="12"/>
  <c r="P74" i="12"/>
  <c r="P52" i="12"/>
  <c r="P32" i="12"/>
  <c r="P31" i="12"/>
  <c r="P25" i="12"/>
  <c r="P27" i="12"/>
  <c r="P30" i="12"/>
  <c r="P8" i="12"/>
  <c r="P44" i="12"/>
  <c r="P49" i="12"/>
  <c r="P42" i="12"/>
  <c r="P45" i="12"/>
  <c r="P46" i="12"/>
  <c r="P47" i="12"/>
  <c r="P50" i="12"/>
  <c r="P51" i="12"/>
  <c r="P20" i="12"/>
  <c r="P29" i="12"/>
  <c r="P28" i="12"/>
  <c r="P26" i="12"/>
  <c r="P37" i="12"/>
  <c r="P36" i="12"/>
  <c r="P35" i="12"/>
  <c r="P34" i="12"/>
  <c r="P33" i="12"/>
  <c r="P38" i="12"/>
  <c r="P53" i="12"/>
  <c r="P54" i="12"/>
  <c r="P55" i="12"/>
  <c r="P56" i="12"/>
  <c r="P41" i="12"/>
  <c r="P23" i="12"/>
  <c r="P48" i="12"/>
  <c r="P40" i="12"/>
  <c r="P43" i="12"/>
  <c r="P39" i="12"/>
  <c r="P22" i="12"/>
  <c r="P21" i="12"/>
  <c r="P24" i="12"/>
  <c r="P9" i="12"/>
  <c r="P18" i="12"/>
  <c r="P15" i="12"/>
  <c r="P16" i="12"/>
  <c r="P17" i="12"/>
  <c r="P19" i="12"/>
  <c r="P12" i="12"/>
  <c r="P13" i="12"/>
  <c r="P10" i="12"/>
  <c r="P11" i="12"/>
  <c r="P14" i="12"/>
  <c r="L7" i="12"/>
  <c r="AK89" i="1"/>
  <c r="AJ89" i="1"/>
  <c r="AR89" i="1"/>
  <c r="AJ90" i="1"/>
  <c r="AL90" i="1"/>
  <c r="AI90" i="1"/>
  <c r="AK90" i="1"/>
  <c r="AK92" i="1"/>
  <c r="AI92" i="1"/>
  <c r="AN92" i="1"/>
  <c r="AJ92" i="1"/>
  <c r="AL92" i="1"/>
  <c r="AM92" i="1"/>
  <c r="AN93" i="1"/>
  <c r="AL93" i="1"/>
  <c r="AJ93" i="1"/>
  <c r="AI93" i="1"/>
  <c r="AM93" i="1"/>
  <c r="AK93" i="1"/>
  <c r="AK94" i="1"/>
  <c r="AI94" i="1"/>
  <c r="AJ94" i="1"/>
  <c r="AK95" i="1"/>
  <c r="AJ95" i="1"/>
  <c r="AI95" i="1"/>
  <c r="AM95" i="1"/>
  <c r="AL95" i="1"/>
  <c r="AJ96" i="1"/>
  <c r="AI96" i="1"/>
  <c r="AI97" i="1"/>
  <c r="AJ97" i="1"/>
  <c r="AJ98" i="1"/>
  <c r="AI98" i="1"/>
  <c r="AL98" i="1"/>
  <c r="AK98" i="1"/>
  <c r="AJ99" i="1"/>
  <c r="AI99" i="1"/>
  <c r="AI100" i="1"/>
  <c r="AL100" i="1"/>
  <c r="AJ100" i="1"/>
  <c r="AK100" i="1"/>
  <c r="AK101" i="1"/>
  <c r="AJ101" i="1"/>
  <c r="AL101" i="1"/>
  <c r="AI101" i="1"/>
  <c r="AI72" i="1"/>
  <c r="AN72" i="1"/>
  <c r="AM72" i="1"/>
  <c r="AJ72" i="1"/>
  <c r="AK72" i="1"/>
  <c r="AL72" i="1"/>
  <c r="AI73" i="1"/>
  <c r="AJ73" i="1"/>
  <c r="AL74" i="1"/>
  <c r="AM74" i="1"/>
  <c r="AI74" i="1"/>
  <c r="AK74" i="1"/>
  <c r="AN74" i="1"/>
  <c r="AJ74" i="1"/>
  <c r="AL75" i="1"/>
  <c r="AM75" i="1"/>
  <c r="AJ75" i="1"/>
  <c r="AK75" i="1"/>
  <c r="AI75" i="1"/>
  <c r="AN75" i="1"/>
  <c r="AK76" i="1"/>
  <c r="AI76" i="1"/>
  <c r="AJ76" i="1"/>
  <c r="AM76" i="1"/>
  <c r="AN76" i="1"/>
  <c r="AL76" i="1"/>
  <c r="AN77" i="1"/>
  <c r="AJ77" i="1"/>
  <c r="AK77" i="1"/>
  <c r="AI77" i="1"/>
  <c r="AM77" i="1"/>
  <c r="AL77" i="1"/>
  <c r="AK79" i="1"/>
  <c r="AM79" i="1"/>
  <c r="AJ79" i="1"/>
  <c r="AL79" i="1"/>
  <c r="AI79" i="1"/>
  <c r="AN79" i="1"/>
  <c r="AO80" i="1"/>
  <c r="AR80" i="1"/>
  <c r="AJ81" i="1"/>
  <c r="AL81" i="1"/>
  <c r="AN81" i="1"/>
  <c r="AK81" i="1"/>
  <c r="AM81" i="1"/>
  <c r="AI81" i="1"/>
  <c r="AK82" i="1"/>
  <c r="AI82" i="1"/>
  <c r="AJ82" i="1"/>
  <c r="AJ83" i="1"/>
  <c r="AI83" i="1"/>
  <c r="AK84" i="1"/>
  <c r="AJ84" i="1"/>
  <c r="AM70" i="1"/>
  <c r="AN70" i="1"/>
  <c r="AL69" i="1"/>
  <c r="AN69" i="1"/>
  <c r="AM69" i="1"/>
  <c r="AL68" i="1"/>
  <c r="AM68" i="1"/>
  <c r="AN68" i="1"/>
  <c r="AL67" i="1"/>
  <c r="AN67" i="1"/>
  <c r="AK67" i="1"/>
  <c r="AM67" i="1"/>
  <c r="AN65" i="1"/>
  <c r="AM65" i="1"/>
  <c r="AN64" i="1"/>
  <c r="AM64" i="1"/>
  <c r="AN62" i="1"/>
  <c r="AL62" i="1"/>
  <c r="AL46" i="1"/>
  <c r="AN46" i="1"/>
  <c r="AM46" i="1"/>
  <c r="AJ44" i="1"/>
  <c r="AK44" i="1"/>
  <c r="AM44" i="1"/>
  <c r="AN44" i="1"/>
  <c r="AI44" i="1"/>
  <c r="AL44" i="1"/>
  <c r="AK43" i="1"/>
  <c r="AM43" i="1"/>
  <c r="AN43" i="1"/>
  <c r="AL43" i="1"/>
  <c r="AK59" i="1"/>
  <c r="AJ59" i="1"/>
  <c r="AI59" i="1"/>
  <c r="AN59" i="1"/>
  <c r="AM59" i="1"/>
  <c r="AL59" i="1"/>
  <c r="AL60" i="1"/>
  <c r="AK60" i="1"/>
  <c r="AN60" i="1"/>
  <c r="AI60" i="1"/>
  <c r="AJ60" i="1"/>
  <c r="AJ61" i="1"/>
  <c r="AN61" i="1"/>
  <c r="AL61" i="1"/>
  <c r="AI61" i="1"/>
  <c r="AM61" i="1"/>
  <c r="AK61" i="1"/>
  <c r="AK62" i="1"/>
  <c r="AI62" i="1"/>
  <c r="AJ62" i="1"/>
  <c r="AM62" i="1"/>
  <c r="AL63" i="1"/>
  <c r="AN63" i="1"/>
  <c r="AK63" i="1"/>
  <c r="AM63" i="1"/>
  <c r="AI63" i="1"/>
  <c r="AJ63" i="1"/>
  <c r="AJ64" i="1"/>
  <c r="AL64" i="1"/>
  <c r="AI64" i="1"/>
  <c r="AK64" i="1"/>
  <c r="AI65" i="1"/>
  <c r="AJ65" i="1"/>
  <c r="AL65" i="1"/>
  <c r="AK65" i="1"/>
  <c r="AL66" i="1"/>
  <c r="AI66" i="1"/>
  <c r="AJ66" i="1"/>
  <c r="AK66" i="1"/>
  <c r="AN66" i="1"/>
  <c r="AM66" i="1"/>
  <c r="AJ67" i="1"/>
  <c r="AI67" i="1"/>
  <c r="AK68" i="1"/>
  <c r="AJ68" i="1"/>
  <c r="AI68" i="1"/>
  <c r="AK69" i="1"/>
  <c r="AJ69" i="1"/>
  <c r="AI69" i="1"/>
  <c r="AK70" i="1"/>
  <c r="AI70" i="1"/>
  <c r="AL70" i="1"/>
  <c r="AJ70" i="1"/>
  <c r="AL13" i="1"/>
  <c r="AJ13" i="1"/>
  <c r="AK13" i="1"/>
  <c r="AN13" i="1"/>
  <c r="AI13" i="1"/>
  <c r="AM13" i="1"/>
  <c r="AJ14" i="1"/>
  <c r="AN14" i="1"/>
  <c r="AK14" i="1"/>
  <c r="AI14" i="1"/>
  <c r="AM14" i="1"/>
  <c r="AL14" i="1"/>
  <c r="AL15" i="1"/>
  <c r="AN15" i="1"/>
  <c r="AM15" i="1"/>
  <c r="AK15" i="1"/>
  <c r="AI15" i="1"/>
  <c r="AJ15" i="1"/>
  <c r="AK16" i="1"/>
  <c r="AN16" i="1"/>
  <c r="AI16" i="1"/>
  <c r="AM16" i="1"/>
  <c r="AJ16" i="1"/>
  <c r="AL16" i="1"/>
  <c r="AM17" i="1"/>
  <c r="AJ17" i="1"/>
  <c r="AI17" i="1"/>
  <c r="AI18" i="1"/>
  <c r="AL18" i="1"/>
  <c r="AK18" i="1"/>
  <c r="AJ18" i="1"/>
  <c r="AM18" i="1"/>
  <c r="AI19" i="1"/>
  <c r="AN19" i="1"/>
  <c r="AL19" i="1"/>
  <c r="AM19" i="1"/>
  <c r="AJ19" i="1"/>
  <c r="AK19" i="1"/>
  <c r="AI20" i="1"/>
  <c r="AJ20" i="1"/>
  <c r="AK20" i="1"/>
  <c r="AK21" i="1"/>
  <c r="AL21" i="1"/>
  <c r="AJ21" i="1"/>
  <c r="AK22" i="1"/>
  <c r="AI22" i="1"/>
  <c r="AJ22" i="1"/>
  <c r="AI34" i="1"/>
  <c r="AL34" i="1"/>
  <c r="AM34" i="1"/>
  <c r="AK34" i="1"/>
  <c r="AN34" i="1"/>
  <c r="AJ34" i="1"/>
  <c r="AJ35" i="1"/>
  <c r="AM35" i="1"/>
  <c r="AL35" i="1"/>
  <c r="AN35" i="1"/>
  <c r="AI35" i="1"/>
  <c r="AK35" i="1"/>
  <c r="AJ36" i="1"/>
  <c r="AM36" i="1"/>
  <c r="AN36" i="1"/>
  <c r="AI43" i="1"/>
  <c r="AJ43" i="1"/>
  <c r="AJ46" i="1"/>
  <c r="AI46" i="1"/>
  <c r="AK46" i="1"/>
  <c r="AK36" i="1"/>
  <c r="AL36" i="1"/>
  <c r="AI36" i="1"/>
  <c r="AJ37" i="1"/>
  <c r="AL37" i="1"/>
  <c r="AK37" i="1"/>
  <c r="AM37" i="1"/>
  <c r="AI37" i="1"/>
  <c r="AK38" i="1"/>
  <c r="AJ38" i="1"/>
  <c r="AL38" i="1"/>
  <c r="AM38" i="1"/>
  <c r="AI38" i="1"/>
  <c r="AM39" i="1"/>
  <c r="AJ39" i="1"/>
  <c r="AL39" i="1"/>
  <c r="AK39" i="1"/>
  <c r="AI39" i="1"/>
  <c r="AL40" i="1"/>
  <c r="AN40" i="1"/>
  <c r="AI40" i="1"/>
  <c r="AM40" i="1"/>
  <c r="AJ40" i="1"/>
  <c r="AK40" i="1"/>
  <c r="AI41" i="1"/>
  <c r="AM41" i="1"/>
  <c r="AL41" i="1"/>
  <c r="AJ41" i="1"/>
  <c r="AK41" i="1"/>
  <c r="AO42" i="1"/>
  <c r="AP42" i="1" s="1"/>
  <c r="AQ42" i="1" s="1"/>
  <c r="AJ48" i="1"/>
  <c r="AL48" i="1"/>
  <c r="AN48" i="1"/>
  <c r="AM48" i="1"/>
  <c r="AK48" i="1"/>
  <c r="AI48" i="1"/>
  <c r="AK29" i="1"/>
  <c r="AN29" i="1"/>
  <c r="AJ29" i="1"/>
  <c r="AM29" i="1"/>
  <c r="AL29" i="1"/>
  <c r="AJ32" i="1"/>
  <c r="AN32" i="1"/>
  <c r="AJ47" i="1"/>
  <c r="AM47" i="1"/>
  <c r="AK47" i="1"/>
  <c r="AL47" i="1"/>
  <c r="AN47" i="1"/>
  <c r="AM49" i="1"/>
  <c r="AL49" i="1"/>
  <c r="AI49" i="1"/>
  <c r="AJ49" i="1"/>
  <c r="AK49" i="1"/>
  <c r="AM50" i="1"/>
  <c r="AI50" i="1"/>
  <c r="AL50" i="1"/>
  <c r="AN50" i="1"/>
  <c r="AJ50" i="1"/>
  <c r="AK50" i="1"/>
  <c r="AK58" i="1"/>
  <c r="AN58" i="1"/>
  <c r="AJ58" i="1"/>
  <c r="AI58" i="1"/>
  <c r="AL58" i="1"/>
  <c r="AM58" i="1"/>
  <c r="AI57" i="1"/>
  <c r="AN57" i="1"/>
  <c r="AL57" i="1"/>
  <c r="AJ57" i="1"/>
  <c r="AK57" i="1"/>
  <c r="AM57" i="1"/>
  <c r="AI30" i="1"/>
  <c r="AL30" i="1"/>
  <c r="AJ30" i="1"/>
  <c r="AK30" i="1"/>
  <c r="AN30" i="1"/>
  <c r="AM30" i="1"/>
  <c r="AI31" i="1"/>
  <c r="AL31" i="1"/>
  <c r="AJ31" i="1"/>
  <c r="AK31" i="1"/>
  <c r="AN31" i="1"/>
  <c r="AM31" i="1"/>
  <c r="AI32" i="1"/>
  <c r="AM32" i="1"/>
  <c r="AL32" i="1"/>
  <c r="AK32" i="1"/>
  <c r="AI33" i="1"/>
  <c r="AN33" i="1"/>
  <c r="AK33" i="1"/>
  <c r="AL33" i="1"/>
  <c r="AJ33" i="1"/>
  <c r="AM33" i="1"/>
  <c r="AI51" i="1"/>
  <c r="AK51" i="1"/>
  <c r="AM51" i="1"/>
  <c r="AN51" i="1"/>
  <c r="AJ51" i="1"/>
  <c r="AL51" i="1"/>
  <c r="AN52" i="1"/>
  <c r="AJ52" i="1"/>
  <c r="AL52" i="1"/>
  <c r="AI52" i="1"/>
  <c r="AM52" i="1"/>
  <c r="AK52" i="1"/>
  <c r="AJ55" i="1"/>
  <c r="AN55" i="1"/>
  <c r="AL55" i="1"/>
  <c r="AM55" i="1"/>
  <c r="AK55" i="1"/>
  <c r="AI55" i="1"/>
  <c r="AI54" i="1"/>
  <c r="AK54" i="1"/>
  <c r="AN54" i="1"/>
  <c r="AJ54" i="1"/>
  <c r="AM54" i="1"/>
  <c r="AL54" i="1"/>
  <c r="AM56" i="1"/>
  <c r="AI56" i="1"/>
  <c r="AL56" i="1"/>
  <c r="AK56" i="1"/>
  <c r="AJ56" i="1"/>
  <c r="AM9" i="1"/>
  <c r="AN9" i="1"/>
  <c r="AI9" i="1"/>
  <c r="AJ9" i="1"/>
  <c r="AL9" i="1"/>
  <c r="AK9" i="1"/>
  <c r="AK28" i="1"/>
  <c r="AL28" i="1"/>
  <c r="AM28" i="1"/>
  <c r="AN28" i="1"/>
  <c r="AJ28" i="1"/>
  <c r="AK10" i="1"/>
  <c r="AI10" i="1"/>
  <c r="AJ10" i="1"/>
  <c r="AL10" i="1"/>
  <c r="AM10" i="1"/>
  <c r="AN10" i="1"/>
  <c r="AO28" i="1"/>
  <c r="AM27" i="1"/>
  <c r="AK27" i="1"/>
  <c r="AL27" i="1"/>
  <c r="AN27" i="1"/>
  <c r="AN26" i="1"/>
  <c r="AK26" i="1"/>
  <c r="AJ27" i="1"/>
  <c r="AI27" i="1"/>
  <c r="AI26" i="1"/>
  <c r="AJ26" i="1"/>
  <c r="AM26" i="1"/>
  <c r="AL26" i="1"/>
  <c r="AI25" i="1"/>
  <c r="AK25" i="1"/>
  <c r="AL25" i="1"/>
  <c r="AM25" i="1"/>
  <c r="AN25" i="1"/>
  <c r="AJ25" i="1"/>
  <c r="AD7" i="1"/>
  <c r="AC7" i="1"/>
  <c r="J7" i="1"/>
  <c r="AI7" i="1"/>
  <c r="AS12" i="1" s="1"/>
  <c r="AJ24" i="1"/>
  <c r="AK24" i="1"/>
  <c r="AL24" i="1"/>
  <c r="AM24" i="1"/>
  <c r="AN24" i="1"/>
  <c r="AM23" i="1"/>
  <c r="AN23" i="1"/>
  <c r="AK23" i="1"/>
  <c r="AJ23" i="1"/>
  <c r="AL23" i="1"/>
  <c r="AH7" i="1"/>
  <c r="AJ5" i="1"/>
  <c r="AK5" i="1"/>
  <c r="AL5" i="1"/>
  <c r="AM5" i="1"/>
  <c r="AN5" i="1"/>
  <c r="AJ6" i="1"/>
  <c r="AK6" i="1"/>
  <c r="AL6" i="1"/>
  <c r="AM6" i="1"/>
  <c r="AN6" i="1"/>
  <c r="AJ8" i="1"/>
  <c r="AK8" i="1"/>
  <c r="AL8" i="1"/>
  <c r="AM8" i="1"/>
  <c r="AN8" i="1"/>
  <c r="AL53" i="1"/>
  <c r="AM53" i="1"/>
  <c r="AN53" i="1"/>
  <c r="AJ53" i="1"/>
  <c r="AK53" i="1"/>
  <c r="AJ4" i="1"/>
  <c r="AK4" i="1"/>
  <c r="AL4" i="1"/>
  <c r="AM4" i="1"/>
  <c r="AN4" i="1"/>
  <c r="AD13" i="21" l="1"/>
  <c r="AL27" i="21"/>
  <c r="O14" i="21"/>
  <c r="M14" i="21"/>
  <c r="M15" i="21" s="1"/>
  <c r="AL26" i="21"/>
  <c r="P15" i="21"/>
  <c r="P16" i="21" s="1"/>
  <c r="P17" i="21" s="1"/>
  <c r="L14" i="21"/>
  <c r="N14" i="21" s="1"/>
  <c r="O15" i="21"/>
  <c r="AL28" i="21"/>
  <c r="AL29" i="21"/>
  <c r="M16" i="21"/>
  <c r="M17" i="21" s="1"/>
  <c r="M18" i="21" s="1"/>
  <c r="M19" i="21" s="1"/>
  <c r="O87" i="22"/>
  <c r="O60" i="22"/>
  <c r="O35" i="22"/>
  <c r="O24" i="22"/>
  <c r="O150" i="22"/>
  <c r="O129" i="22"/>
  <c r="O114" i="22"/>
  <c r="O8" i="22"/>
  <c r="AL20" i="21"/>
  <c r="AK11" i="21"/>
  <c r="AH11" i="21"/>
  <c r="AM13" i="21" s="1"/>
  <c r="AL37" i="21"/>
  <c r="AL19" i="21"/>
  <c r="AL45" i="21"/>
  <c r="AM35" i="21"/>
  <c r="AL35" i="21"/>
  <c r="AP45" i="21"/>
  <c r="AP43" i="21"/>
  <c r="AP46" i="21"/>
  <c r="AP35" i="21"/>
  <c r="AP44" i="21"/>
  <c r="AP40" i="21"/>
  <c r="AP37" i="21"/>
  <c r="AP38" i="21"/>
  <c r="AP41" i="21"/>
  <c r="AP47" i="21"/>
  <c r="AM47" i="21"/>
  <c r="AM38" i="21"/>
  <c r="AM40" i="21"/>
  <c r="AM44" i="21"/>
  <c r="AM37" i="21"/>
  <c r="AM41" i="21"/>
  <c r="AL41" i="21"/>
  <c r="AM43" i="21"/>
  <c r="AL43" i="21"/>
  <c r="AL46" i="21"/>
  <c r="AM46" i="21"/>
  <c r="AL24" i="21"/>
  <c r="AP33" i="21"/>
  <c r="AP23" i="21"/>
  <c r="AP32" i="21"/>
  <c r="AP34" i="21"/>
  <c r="AP26" i="21"/>
  <c r="AP27" i="21"/>
  <c r="AP24" i="21"/>
  <c r="AP31" i="21"/>
  <c r="AP29" i="21"/>
  <c r="AP28" i="21"/>
  <c r="AP30" i="21"/>
  <c r="AP21" i="21"/>
  <c r="AL30" i="21"/>
  <c r="AL31" i="21"/>
  <c r="AL32" i="21"/>
  <c r="AL33" i="21"/>
  <c r="AL34" i="21"/>
  <c r="AM34" i="21"/>
  <c r="AJ11" i="21"/>
  <c r="AO13" i="21" s="1"/>
  <c r="AI11" i="21"/>
  <c r="AN13" i="21" s="1"/>
  <c r="AP18" i="21"/>
  <c r="AP17" i="21"/>
  <c r="AP14" i="21"/>
  <c r="AP19" i="21"/>
  <c r="AP16" i="21"/>
  <c r="AP20" i="21"/>
  <c r="AL21" i="21"/>
  <c r="AL14" i="21"/>
  <c r="AL15" i="21"/>
  <c r="AL17" i="21"/>
  <c r="AL23" i="21"/>
  <c r="O162" i="20"/>
  <c r="O178" i="20"/>
  <c r="O170" i="20"/>
  <c r="O174" i="20"/>
  <c r="O180" i="20"/>
  <c r="O182" i="20"/>
  <c r="O184" i="20"/>
  <c r="O186" i="20"/>
  <c r="O188" i="20"/>
  <c r="O189" i="20"/>
  <c r="O192" i="20"/>
  <c r="O205" i="20"/>
  <c r="O193" i="20"/>
  <c r="O195" i="20"/>
  <c r="O196" i="20"/>
  <c r="O198" i="20"/>
  <c r="O201" i="20"/>
  <c r="O206" i="20"/>
  <c r="O211" i="20"/>
  <c r="O212" i="20"/>
  <c r="O217" i="20"/>
  <c r="O220" i="20"/>
  <c r="O221" i="20"/>
  <c r="O222" i="20"/>
  <c r="O223" i="20"/>
  <c r="O224" i="20"/>
  <c r="O225" i="20"/>
  <c r="O230" i="20"/>
  <c r="O231" i="20"/>
  <c r="O233" i="20"/>
  <c r="O235" i="20"/>
  <c r="O163" i="20"/>
  <c r="O166" i="20"/>
  <c r="O177" i="20"/>
  <c r="O190" i="20"/>
  <c r="O200" i="20"/>
  <c r="O216" i="20"/>
  <c r="O219" i="20"/>
  <c r="O226" i="20"/>
  <c r="O229" i="20"/>
  <c r="O232" i="20"/>
  <c r="O172" i="20"/>
  <c r="O175" i="20"/>
  <c r="O176" i="20"/>
  <c r="O181" i="20"/>
  <c r="O167" i="20"/>
  <c r="O171" i="20"/>
  <c r="O179" i="20"/>
  <c r="O8" i="20"/>
  <c r="O11" i="20"/>
  <c r="O12" i="20"/>
  <c r="O13" i="20"/>
  <c r="O14" i="20"/>
  <c r="O15" i="20"/>
  <c r="O16" i="20"/>
  <c r="O17" i="20"/>
  <c r="O18" i="20"/>
  <c r="O19" i="20"/>
  <c r="O20" i="20"/>
  <c r="O21" i="20"/>
  <c r="O28" i="20"/>
  <c r="O29" i="20"/>
  <c r="O32" i="20"/>
  <c r="O33" i="20"/>
  <c r="O57" i="20"/>
  <c r="O58" i="20"/>
  <c r="O67" i="20"/>
  <c r="O68" i="20"/>
  <c r="O69" i="20"/>
  <c r="O71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69" i="20"/>
  <c r="O9" i="20"/>
  <c r="O10" i="20"/>
  <c r="O22" i="20"/>
  <c r="O23" i="20"/>
  <c r="O24" i="20"/>
  <c r="O25" i="20"/>
  <c r="O26" i="20"/>
  <c r="O27" i="20"/>
  <c r="O30" i="20"/>
  <c r="O31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9" i="20"/>
  <c r="O60" i="20"/>
  <c r="O61" i="20"/>
  <c r="O62" i="20"/>
  <c r="O63" i="20"/>
  <c r="O64" i="20"/>
  <c r="O65" i="20"/>
  <c r="O66" i="20"/>
  <c r="O70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7" i="20"/>
  <c r="O158" i="20"/>
  <c r="O159" i="20"/>
  <c r="O160" i="20"/>
  <c r="O161" i="20"/>
  <c r="O165" i="20"/>
  <c r="O168" i="20"/>
  <c r="O183" i="20"/>
  <c r="O185" i="20"/>
  <c r="O187" i="20"/>
  <c r="O191" i="20"/>
  <c r="O194" i="20"/>
  <c r="O197" i="20"/>
  <c r="O199" i="20"/>
  <c r="O202" i="20"/>
  <c r="O203" i="20"/>
  <c r="O204" i="20"/>
  <c r="O207" i="20"/>
  <c r="O209" i="20"/>
  <c r="O213" i="20"/>
  <c r="O214" i="20"/>
  <c r="O215" i="20"/>
  <c r="O218" i="20"/>
  <c r="O227" i="20"/>
  <c r="O228" i="20"/>
  <c r="O234" i="20"/>
  <c r="O236" i="20"/>
  <c r="O237" i="20"/>
  <c r="O238" i="20"/>
  <c r="O239" i="20"/>
  <c r="O240" i="20"/>
  <c r="O164" i="20"/>
  <c r="O208" i="20"/>
  <c r="O207" i="12"/>
  <c r="O209" i="12"/>
  <c r="O208" i="12"/>
  <c r="AY103" i="1"/>
  <c r="AP103" i="1"/>
  <c r="AQ103" i="1" s="1"/>
  <c r="AP112" i="1"/>
  <c r="AQ112" i="1" s="1"/>
  <c r="AO112" i="1"/>
  <c r="AY112" i="1" s="1"/>
  <c r="AS112" i="1"/>
  <c r="AR112" i="1"/>
  <c r="AO113" i="1"/>
  <c r="AY113" i="1" s="1"/>
  <c r="AR113" i="1"/>
  <c r="AS113" i="1"/>
  <c r="AP113" i="1"/>
  <c r="AQ113" i="1" s="1"/>
  <c r="AR114" i="1"/>
  <c r="AP114" i="1"/>
  <c r="AQ114" i="1" s="1"/>
  <c r="AS114" i="1"/>
  <c r="AO114" i="1"/>
  <c r="AY114" i="1" s="1"/>
  <c r="AR104" i="1"/>
  <c r="AS104" i="1"/>
  <c r="AO104" i="1"/>
  <c r="AY104" i="1" s="1"/>
  <c r="AP104" i="1"/>
  <c r="AQ104" i="1" s="1"/>
  <c r="AR105" i="1"/>
  <c r="AP105" i="1"/>
  <c r="AQ105" i="1" s="1"/>
  <c r="AS105" i="1"/>
  <c r="AO105" i="1"/>
  <c r="AY105" i="1" s="1"/>
  <c r="AS106" i="1"/>
  <c r="AO106" i="1"/>
  <c r="AR106" i="1"/>
  <c r="AO107" i="1"/>
  <c r="AY107" i="1" s="1"/>
  <c r="AR107" i="1"/>
  <c r="AS107" i="1"/>
  <c r="AP107" i="1"/>
  <c r="AQ107" i="1" s="1"/>
  <c r="AO109" i="1"/>
  <c r="AY109" i="1" s="1"/>
  <c r="AS109" i="1"/>
  <c r="AP109" i="1"/>
  <c r="AQ109" i="1" s="1"/>
  <c r="AR109" i="1"/>
  <c r="AP80" i="1"/>
  <c r="AQ80" i="1" s="1"/>
  <c r="AP28" i="1"/>
  <c r="AQ28" i="1" s="1"/>
  <c r="AR72" i="1"/>
  <c r="AO72" i="1"/>
  <c r="AP72" i="1" s="1"/>
  <c r="AQ72" i="1" s="1"/>
  <c r="O271" i="12"/>
  <c r="O270" i="12"/>
  <c r="O269" i="12"/>
  <c r="O268" i="12"/>
  <c r="O267" i="12"/>
  <c r="O266" i="12"/>
  <c r="O265" i="12"/>
  <c r="O264" i="12"/>
  <c r="O263" i="12"/>
  <c r="O262" i="12"/>
  <c r="O261" i="12"/>
  <c r="O260" i="12"/>
  <c r="O259" i="12"/>
  <c r="O258" i="12"/>
  <c r="O249" i="12"/>
  <c r="O248" i="12"/>
  <c r="O247" i="12"/>
  <c r="O246" i="12"/>
  <c r="O244" i="12"/>
  <c r="O243" i="12"/>
  <c r="O242" i="12"/>
  <c r="O257" i="12"/>
  <c r="O256" i="12"/>
  <c r="O255" i="12"/>
  <c r="O254" i="12"/>
  <c r="O253" i="12"/>
  <c r="O252" i="12"/>
  <c r="O251" i="12"/>
  <c r="O250" i="12"/>
  <c r="O245" i="12"/>
  <c r="O239" i="12"/>
  <c r="O240" i="12"/>
  <c r="O238" i="12"/>
  <c r="O284" i="12"/>
  <c r="O302" i="12"/>
  <c r="O276" i="12"/>
  <c r="O277" i="12"/>
  <c r="O278" i="12"/>
  <c r="O280" i="12"/>
  <c r="O281" i="12"/>
  <c r="O282" i="12"/>
  <c r="O283" i="12"/>
  <c r="O286" i="12"/>
  <c r="O287" i="12"/>
  <c r="O288" i="12"/>
  <c r="O289" i="12"/>
  <c r="O290" i="12"/>
  <c r="O291" i="12"/>
  <c r="O293" i="12"/>
  <c r="O294" i="12"/>
  <c r="O295" i="12"/>
  <c r="O296" i="12"/>
  <c r="O297" i="12"/>
  <c r="O298" i="12"/>
  <c r="O299" i="12"/>
  <c r="O300" i="12"/>
  <c r="O301" i="12"/>
  <c r="O66" i="12"/>
  <c r="O67" i="12"/>
  <c r="O71" i="12"/>
  <c r="O279" i="12"/>
  <c r="O273" i="12"/>
  <c r="O274" i="12"/>
  <c r="O275" i="12"/>
  <c r="O292" i="12"/>
  <c r="O285" i="12"/>
  <c r="O65" i="12"/>
  <c r="O69" i="12"/>
  <c r="O70" i="12"/>
  <c r="O68" i="12"/>
  <c r="O64" i="12"/>
  <c r="O237" i="12"/>
  <c r="O236" i="12"/>
  <c r="O235" i="12"/>
  <c r="O234" i="12"/>
  <c r="O233" i="12"/>
  <c r="O232" i="12"/>
  <c r="O231" i="12"/>
  <c r="O230" i="12"/>
  <c r="O229" i="12"/>
  <c r="O228" i="12"/>
  <c r="O226" i="12"/>
  <c r="O224" i="12"/>
  <c r="O217" i="12"/>
  <c r="O216" i="12"/>
  <c r="O213" i="12"/>
  <c r="O212" i="12"/>
  <c r="O211" i="12"/>
  <c r="O61" i="12"/>
  <c r="O62" i="12"/>
  <c r="O63" i="12"/>
  <c r="O223" i="12"/>
  <c r="O222" i="12"/>
  <c r="O221" i="12"/>
  <c r="O220" i="12"/>
  <c r="O215" i="12"/>
  <c r="O214" i="12"/>
  <c r="O219" i="12"/>
  <c r="O227" i="12"/>
  <c r="O225" i="12"/>
  <c r="O218" i="12"/>
  <c r="O127" i="12"/>
  <c r="O128" i="12"/>
  <c r="O129" i="12"/>
  <c r="O155" i="12"/>
  <c r="O57" i="12"/>
  <c r="O58" i="12"/>
  <c r="O59" i="12"/>
  <c r="O60" i="12"/>
  <c r="O204" i="12"/>
  <c r="O205" i="12"/>
  <c r="O206" i="12"/>
  <c r="O201" i="12"/>
  <c r="O202" i="12"/>
  <c r="O203" i="12"/>
  <c r="O175" i="12"/>
  <c r="O195" i="12"/>
  <c r="O199" i="12"/>
  <c r="O200" i="12"/>
  <c r="O176" i="12"/>
  <c r="O177" i="12"/>
  <c r="O178" i="12"/>
  <c r="O179" i="12"/>
  <c r="O180" i="12"/>
  <c r="O181" i="12"/>
  <c r="O182" i="12"/>
  <c r="O183" i="12"/>
  <c r="O184" i="12"/>
  <c r="O185" i="12"/>
  <c r="O186" i="12"/>
  <c r="O187" i="12"/>
  <c r="O188" i="12"/>
  <c r="O189" i="12"/>
  <c r="O190" i="12"/>
  <c r="O191" i="12"/>
  <c r="O192" i="12"/>
  <c r="O193" i="12"/>
  <c r="O194" i="12"/>
  <c r="O196" i="12"/>
  <c r="O197" i="12"/>
  <c r="O198" i="12"/>
  <c r="O174" i="12"/>
  <c r="O154" i="12"/>
  <c r="O166" i="12"/>
  <c r="O168" i="12"/>
  <c r="O161" i="12"/>
  <c r="O162" i="12"/>
  <c r="O163" i="12"/>
  <c r="O164" i="12"/>
  <c r="O165" i="12"/>
  <c r="O167" i="12"/>
  <c r="O172" i="12"/>
  <c r="O169" i="12"/>
  <c r="O170" i="12"/>
  <c r="O158" i="12"/>
  <c r="O171" i="12"/>
  <c r="O157" i="12"/>
  <c r="O160" i="12"/>
  <c r="O159" i="12"/>
  <c r="O139" i="12"/>
  <c r="O153" i="12"/>
  <c r="AO43" i="1"/>
  <c r="AP43" i="1" s="1"/>
  <c r="AQ43" i="1" s="1"/>
  <c r="AO21" i="1"/>
  <c r="AP21" i="1" s="1"/>
  <c r="AQ21" i="1" s="1"/>
  <c r="AO12" i="1"/>
  <c r="AP12" i="1" s="1"/>
  <c r="AQ12" i="1" s="1"/>
  <c r="AR12" i="1"/>
  <c r="AR45" i="1"/>
  <c r="AP45" i="1"/>
  <c r="AQ45" i="1" s="1"/>
  <c r="AO89" i="1"/>
  <c r="AP89" i="1" s="1"/>
  <c r="AQ89" i="1" s="1"/>
  <c r="AR60" i="1"/>
  <c r="AR86" i="1"/>
  <c r="AO86" i="1"/>
  <c r="AP86" i="1" s="1"/>
  <c r="AQ86" i="1" s="1"/>
  <c r="AS84" i="1"/>
  <c r="AR78" i="1"/>
  <c r="AO78" i="1"/>
  <c r="AP78" i="1" s="1"/>
  <c r="AQ78" i="1" s="1"/>
  <c r="AS89" i="1"/>
  <c r="AS72" i="1"/>
  <c r="AS78" i="1"/>
  <c r="AS80" i="1"/>
  <c r="AS21" i="1"/>
  <c r="O151" i="12"/>
  <c r="O152" i="12"/>
  <c r="AS87" i="1"/>
  <c r="AO87" i="1"/>
  <c r="AP87" i="1" s="1"/>
  <c r="AQ87" i="1" s="1"/>
  <c r="AR87" i="1"/>
  <c r="AS88" i="1"/>
  <c r="AO88" i="1"/>
  <c r="AP88" i="1" s="1"/>
  <c r="AQ88" i="1" s="1"/>
  <c r="AR88" i="1"/>
  <c r="AR91" i="1"/>
  <c r="AS91" i="1"/>
  <c r="AO91" i="1"/>
  <c r="AP91" i="1" s="1"/>
  <c r="AQ91" i="1" s="1"/>
  <c r="AS102" i="1"/>
  <c r="AR102" i="1"/>
  <c r="AO102" i="1"/>
  <c r="AP102" i="1" s="1"/>
  <c r="AQ102" i="1" s="1"/>
  <c r="AO71" i="1"/>
  <c r="AP71" i="1" s="1"/>
  <c r="AQ71" i="1" s="1"/>
  <c r="AS71" i="1"/>
  <c r="AR71" i="1"/>
  <c r="AS85" i="1"/>
  <c r="AO85" i="1"/>
  <c r="AP85" i="1" s="1"/>
  <c r="AQ85" i="1" s="1"/>
  <c r="AR85" i="1"/>
  <c r="AO47" i="1"/>
  <c r="AP47" i="1" s="1"/>
  <c r="AQ47" i="1" s="1"/>
  <c r="AR43" i="1"/>
  <c r="AR44" i="1"/>
  <c r="AO44" i="1"/>
  <c r="AP44" i="1" s="1"/>
  <c r="AQ44" i="1" s="1"/>
  <c r="AR26" i="1"/>
  <c r="AO26" i="1"/>
  <c r="AP26" i="1" s="1"/>
  <c r="AQ26" i="1" s="1"/>
  <c r="AO25" i="1"/>
  <c r="AP25" i="1" s="1"/>
  <c r="AQ25" i="1" s="1"/>
  <c r="AR25" i="1"/>
  <c r="AF75" i="1"/>
  <c r="AF90" i="1"/>
  <c r="AF70" i="1"/>
  <c r="AF93" i="1"/>
  <c r="AF85" i="1"/>
  <c r="AF96" i="1"/>
  <c r="AF73" i="1"/>
  <c r="AF100" i="1"/>
  <c r="AF67" i="1"/>
  <c r="AF72" i="1"/>
  <c r="AF71" i="1"/>
  <c r="AF79" i="1"/>
  <c r="AF92" i="1"/>
  <c r="AF61" i="1"/>
  <c r="AF22" i="1"/>
  <c r="AF74" i="1"/>
  <c r="AF88" i="1"/>
  <c r="AF89" i="1"/>
  <c r="AF94" i="1"/>
  <c r="AF91" i="1"/>
  <c r="AF95" i="1"/>
  <c r="AF63" i="1"/>
  <c r="AF97" i="1"/>
  <c r="AF99" i="1"/>
  <c r="AF76" i="1"/>
  <c r="AF77" i="1"/>
  <c r="AF78" i="1"/>
  <c r="AF84" i="1"/>
  <c r="AF9" i="1"/>
  <c r="AF11" i="1"/>
  <c r="AF12" i="1"/>
  <c r="AF13" i="1"/>
  <c r="AF14" i="1"/>
  <c r="AF15" i="1"/>
  <c r="AF16" i="1"/>
  <c r="AF17" i="1"/>
  <c r="AF18" i="1"/>
  <c r="AF19" i="1"/>
  <c r="AF65" i="1"/>
  <c r="AF20" i="1"/>
  <c r="AF21" i="1"/>
  <c r="AF86" i="1"/>
  <c r="AF62" i="1"/>
  <c r="AF64" i="1"/>
  <c r="AF82" i="1"/>
  <c r="AF83" i="1"/>
  <c r="AF80" i="1"/>
  <c r="AF8" i="1"/>
  <c r="AF59" i="1"/>
  <c r="AF69" i="1"/>
  <c r="AF87" i="1"/>
  <c r="AF98" i="1"/>
  <c r="AF101" i="1"/>
  <c r="AF102" i="1"/>
  <c r="AF81" i="1"/>
  <c r="AF60" i="1"/>
  <c r="AF66" i="1"/>
  <c r="AF68" i="1"/>
  <c r="AE78" i="1"/>
  <c r="AE94" i="1"/>
  <c r="AE97" i="1"/>
  <c r="AE62" i="1"/>
  <c r="AE64" i="1"/>
  <c r="AE67" i="1"/>
  <c r="AE101" i="1"/>
  <c r="AE16" i="1"/>
  <c r="AE13" i="1"/>
  <c r="AE102" i="1"/>
  <c r="AE12" i="1"/>
  <c r="AE83" i="1"/>
  <c r="AE87" i="1"/>
  <c r="AE90" i="1"/>
  <c r="AE14" i="1"/>
  <c r="AE93" i="1"/>
  <c r="AE15" i="1"/>
  <c r="AE95" i="1"/>
  <c r="AE71" i="1"/>
  <c r="AE17" i="1"/>
  <c r="AE18" i="1"/>
  <c r="AE80" i="1"/>
  <c r="AE86" i="1"/>
  <c r="AE19" i="1"/>
  <c r="AE68" i="1"/>
  <c r="AE70" i="1"/>
  <c r="AE89" i="1"/>
  <c r="AE91" i="1"/>
  <c r="AE60" i="1"/>
  <c r="AE100" i="1"/>
  <c r="AE59" i="1"/>
  <c r="AE63" i="1"/>
  <c r="AE65" i="1"/>
  <c r="AE61" i="1"/>
  <c r="AE20" i="1"/>
  <c r="AE85" i="1"/>
  <c r="AE21" i="1"/>
  <c r="AE9" i="1"/>
  <c r="AE8" i="1"/>
  <c r="AE84" i="1"/>
  <c r="AE99" i="1"/>
  <c r="AE82" i="1"/>
  <c r="AE66" i="1"/>
  <c r="AE69" i="1"/>
  <c r="AE22" i="1"/>
  <c r="AE72" i="1"/>
  <c r="AE96" i="1"/>
  <c r="AE98" i="1"/>
  <c r="AE73" i="1"/>
  <c r="AE74" i="1"/>
  <c r="AE75" i="1"/>
  <c r="AE79" i="1"/>
  <c r="AE81" i="1"/>
  <c r="AE76" i="1"/>
  <c r="AE88" i="1"/>
  <c r="AE92" i="1"/>
  <c r="AE77" i="1"/>
  <c r="AE11" i="1"/>
  <c r="AS86" i="1"/>
  <c r="AS11" i="1"/>
  <c r="O150" i="12"/>
  <c r="O149" i="12"/>
  <c r="O148" i="12"/>
  <c r="O142" i="12"/>
  <c r="O147" i="12"/>
  <c r="O132" i="12"/>
  <c r="O133" i="12"/>
  <c r="O134" i="12"/>
  <c r="O135" i="12"/>
  <c r="O136" i="12"/>
  <c r="O137" i="12"/>
  <c r="O138" i="12"/>
  <c r="O140" i="12"/>
  <c r="O141" i="12"/>
  <c r="O143" i="12"/>
  <c r="O144" i="12"/>
  <c r="O145" i="12"/>
  <c r="O146" i="12"/>
  <c r="O131" i="12"/>
  <c r="O125" i="12"/>
  <c r="O126" i="12"/>
  <c r="O124" i="12"/>
  <c r="O123" i="12"/>
  <c r="O122" i="12"/>
  <c r="O121" i="12"/>
  <c r="O119" i="12"/>
  <c r="O117" i="12"/>
  <c r="O120" i="12"/>
  <c r="O82" i="12"/>
  <c r="O118" i="12"/>
  <c r="O116" i="12"/>
  <c r="O115" i="12"/>
  <c r="O114" i="12"/>
  <c r="O113" i="12"/>
  <c r="O112" i="12"/>
  <c r="O97" i="12"/>
  <c r="O98" i="12"/>
  <c r="O99" i="12"/>
  <c r="O100" i="12"/>
  <c r="O101" i="12"/>
  <c r="O111" i="12"/>
  <c r="O106" i="12"/>
  <c r="O87" i="12"/>
  <c r="O110" i="12"/>
  <c r="O109" i="12"/>
  <c r="O108" i="12"/>
  <c r="O107" i="12"/>
  <c r="O89" i="12"/>
  <c r="O90" i="12"/>
  <c r="O91" i="12"/>
  <c r="O86" i="12"/>
  <c r="O88" i="12"/>
  <c r="O92" i="12"/>
  <c r="O93" i="12"/>
  <c r="O94" i="12"/>
  <c r="O95" i="12"/>
  <c r="O96" i="12"/>
  <c r="O102" i="12"/>
  <c r="O103" i="12"/>
  <c r="O104" i="12"/>
  <c r="O105" i="12"/>
  <c r="O83" i="12"/>
  <c r="O84" i="12"/>
  <c r="O78" i="12"/>
  <c r="O79" i="12"/>
  <c r="O80" i="12"/>
  <c r="O81" i="12"/>
  <c r="O75" i="12"/>
  <c r="O76" i="12"/>
  <c r="O77" i="12"/>
  <c r="O73" i="12"/>
  <c r="O23" i="12"/>
  <c r="O74" i="12"/>
  <c r="O56" i="12"/>
  <c r="O55" i="12"/>
  <c r="O54" i="12"/>
  <c r="O53" i="12"/>
  <c r="O52" i="12"/>
  <c r="O46" i="12"/>
  <c r="O45" i="12"/>
  <c r="O41" i="12"/>
  <c r="O32" i="12"/>
  <c r="O33" i="12"/>
  <c r="O34" i="12"/>
  <c r="O35" i="12"/>
  <c r="O36" i="12"/>
  <c r="O37" i="12"/>
  <c r="O31" i="12"/>
  <c r="O28" i="12"/>
  <c r="O25" i="12"/>
  <c r="O26" i="12"/>
  <c r="O27" i="12"/>
  <c r="O29" i="12"/>
  <c r="O30" i="12"/>
  <c r="O20" i="12"/>
  <c r="O8" i="12"/>
  <c r="O50" i="12"/>
  <c r="O49" i="12"/>
  <c r="O48" i="12"/>
  <c r="O38" i="12"/>
  <c r="O51" i="12"/>
  <c r="O47" i="12"/>
  <c r="O43" i="12"/>
  <c r="O44" i="12"/>
  <c r="O40" i="12"/>
  <c r="O42" i="12"/>
  <c r="O39" i="12"/>
  <c r="O24" i="12"/>
  <c r="O21" i="12"/>
  <c r="O22" i="12"/>
  <c r="O9" i="12"/>
  <c r="O15" i="12"/>
  <c r="O16" i="12"/>
  <c r="O17" i="12"/>
  <c r="O18" i="12"/>
  <c r="O19" i="12"/>
  <c r="O10" i="12"/>
  <c r="O11" i="12"/>
  <c r="O14" i="12"/>
  <c r="O13" i="12"/>
  <c r="O12" i="12"/>
  <c r="AR90" i="1"/>
  <c r="AS90" i="1"/>
  <c r="AO90" i="1"/>
  <c r="AP90" i="1" s="1"/>
  <c r="AQ90" i="1" s="1"/>
  <c r="AR92" i="1"/>
  <c r="AO92" i="1"/>
  <c r="AP92" i="1" s="1"/>
  <c r="AQ92" i="1" s="1"/>
  <c r="AS92" i="1"/>
  <c r="AR93" i="1"/>
  <c r="AO93" i="1"/>
  <c r="AP93" i="1" s="1"/>
  <c r="AQ93" i="1" s="1"/>
  <c r="AS93" i="1"/>
  <c r="AO94" i="1"/>
  <c r="AP94" i="1" s="1"/>
  <c r="AQ94" i="1" s="1"/>
  <c r="AS94" i="1"/>
  <c r="AR94" i="1"/>
  <c r="AO95" i="1"/>
  <c r="AP95" i="1" s="1"/>
  <c r="AQ95" i="1" s="1"/>
  <c r="AR95" i="1"/>
  <c r="AS95" i="1"/>
  <c r="AO96" i="1"/>
  <c r="AP96" i="1" s="1"/>
  <c r="AQ96" i="1" s="1"/>
  <c r="AS96" i="1"/>
  <c r="AR96" i="1"/>
  <c r="AS97" i="1"/>
  <c r="AR97" i="1"/>
  <c r="AO97" i="1"/>
  <c r="AP97" i="1" s="1"/>
  <c r="AQ97" i="1" s="1"/>
  <c r="AR98" i="1"/>
  <c r="AS98" i="1"/>
  <c r="AO98" i="1"/>
  <c r="AP98" i="1" s="1"/>
  <c r="AQ98" i="1" s="1"/>
  <c r="AR99" i="1"/>
  <c r="AS99" i="1"/>
  <c r="AO99" i="1"/>
  <c r="AP99" i="1" s="1"/>
  <c r="AQ99" i="1" s="1"/>
  <c r="AR100" i="1"/>
  <c r="AO100" i="1"/>
  <c r="AP100" i="1" s="1"/>
  <c r="AQ100" i="1" s="1"/>
  <c r="AS100" i="1"/>
  <c r="AO101" i="1"/>
  <c r="AP101" i="1" s="1"/>
  <c r="AQ101" i="1" s="1"/>
  <c r="AS101" i="1"/>
  <c r="AR101" i="1"/>
  <c r="AO84" i="1"/>
  <c r="AP84" i="1" s="1"/>
  <c r="AQ84" i="1" s="1"/>
  <c r="AR84" i="1"/>
  <c r="AS73" i="1"/>
  <c r="AO73" i="1"/>
  <c r="AP73" i="1" s="1"/>
  <c r="AQ73" i="1" s="1"/>
  <c r="AR73" i="1"/>
  <c r="AR74" i="1"/>
  <c r="AS74" i="1"/>
  <c r="AO74" i="1"/>
  <c r="AP74" i="1" s="1"/>
  <c r="AQ74" i="1" s="1"/>
  <c r="AR75" i="1"/>
  <c r="AS75" i="1"/>
  <c r="AO75" i="1"/>
  <c r="AP75" i="1" s="1"/>
  <c r="AQ75" i="1" s="1"/>
  <c r="AR76" i="1"/>
  <c r="AS76" i="1"/>
  <c r="AO76" i="1"/>
  <c r="AP76" i="1" s="1"/>
  <c r="AQ76" i="1" s="1"/>
  <c r="AR77" i="1"/>
  <c r="AS77" i="1"/>
  <c r="AO77" i="1"/>
  <c r="AP77" i="1" s="1"/>
  <c r="AQ77" i="1" s="1"/>
  <c r="AO79" i="1"/>
  <c r="AP79" i="1" s="1"/>
  <c r="AQ79" i="1" s="1"/>
  <c r="AS79" i="1"/>
  <c r="AR79" i="1"/>
  <c r="AO81" i="1"/>
  <c r="AP81" i="1" s="1"/>
  <c r="AQ81" i="1" s="1"/>
  <c r="AS81" i="1"/>
  <c r="AR81" i="1"/>
  <c r="AS82" i="1"/>
  <c r="AR82" i="1"/>
  <c r="AO82" i="1"/>
  <c r="AP82" i="1" s="1"/>
  <c r="AQ82" i="1" s="1"/>
  <c r="AO83" i="1"/>
  <c r="AP83" i="1" s="1"/>
  <c r="AQ83" i="1" s="1"/>
  <c r="AR83" i="1"/>
  <c r="AS83" i="1"/>
  <c r="AR21" i="1"/>
  <c r="AS59" i="1"/>
  <c r="AR59" i="1"/>
  <c r="AO59" i="1"/>
  <c r="AP59" i="1" s="1"/>
  <c r="AQ59" i="1" s="1"/>
  <c r="AS60" i="1"/>
  <c r="AO60" i="1"/>
  <c r="AP60" i="1" s="1"/>
  <c r="AQ60" i="1" s="1"/>
  <c r="AS61" i="1"/>
  <c r="AO61" i="1"/>
  <c r="AP61" i="1" s="1"/>
  <c r="AQ61" i="1" s="1"/>
  <c r="AR61" i="1"/>
  <c r="AS62" i="1"/>
  <c r="AR62" i="1"/>
  <c r="AO62" i="1"/>
  <c r="AP62" i="1" s="1"/>
  <c r="AQ62" i="1" s="1"/>
  <c r="AO63" i="1"/>
  <c r="AP63" i="1" s="1"/>
  <c r="AQ63" i="1" s="1"/>
  <c r="AR63" i="1"/>
  <c r="AS63" i="1"/>
  <c r="AS64" i="1"/>
  <c r="AR64" i="1"/>
  <c r="AO64" i="1"/>
  <c r="AP64" i="1" s="1"/>
  <c r="AQ64" i="1" s="1"/>
  <c r="AO65" i="1"/>
  <c r="AP65" i="1" s="1"/>
  <c r="AQ65" i="1" s="1"/>
  <c r="AR65" i="1"/>
  <c r="AS65" i="1"/>
  <c r="AS66" i="1"/>
  <c r="AR66" i="1"/>
  <c r="AO66" i="1"/>
  <c r="AP66" i="1" s="1"/>
  <c r="AQ66" i="1" s="1"/>
  <c r="AO67" i="1"/>
  <c r="AP67" i="1" s="1"/>
  <c r="AQ67" i="1" s="1"/>
  <c r="AS67" i="1"/>
  <c r="AR67" i="1"/>
  <c r="AS68" i="1"/>
  <c r="AR68" i="1"/>
  <c r="AO68" i="1"/>
  <c r="AP68" i="1" s="1"/>
  <c r="AQ68" i="1" s="1"/>
  <c r="AS69" i="1"/>
  <c r="AR69" i="1"/>
  <c r="AO69" i="1"/>
  <c r="AP69" i="1" s="1"/>
  <c r="AQ69" i="1" s="1"/>
  <c r="AS70" i="1"/>
  <c r="C6" i="5" s="1"/>
  <c r="AO70" i="1"/>
  <c r="AP70" i="1" s="1"/>
  <c r="AQ70" i="1" s="1"/>
  <c r="AR70" i="1"/>
  <c r="AS13" i="1"/>
  <c r="AO13" i="1"/>
  <c r="AP13" i="1" s="1"/>
  <c r="AQ13" i="1" s="1"/>
  <c r="AR13" i="1"/>
  <c r="AS14" i="1"/>
  <c r="AO14" i="1"/>
  <c r="AP14" i="1" s="1"/>
  <c r="AQ14" i="1" s="1"/>
  <c r="AR14" i="1"/>
  <c r="AR15" i="1"/>
  <c r="AS15" i="1"/>
  <c r="AO15" i="1"/>
  <c r="AP15" i="1" s="1"/>
  <c r="AQ15" i="1" s="1"/>
  <c r="AO16" i="1"/>
  <c r="AP16" i="1" s="1"/>
  <c r="AQ16" i="1" s="1"/>
  <c r="AR16" i="1"/>
  <c r="AS16" i="1"/>
  <c r="AO17" i="1"/>
  <c r="AP17" i="1" s="1"/>
  <c r="AQ17" i="1" s="1"/>
  <c r="AR17" i="1"/>
  <c r="AS17" i="1"/>
  <c r="AR18" i="1"/>
  <c r="AO18" i="1"/>
  <c r="AP18" i="1" s="1"/>
  <c r="AQ18" i="1" s="1"/>
  <c r="AS18" i="1"/>
  <c r="AS19" i="1"/>
  <c r="AR19" i="1"/>
  <c r="AO19" i="1"/>
  <c r="AP19" i="1" s="1"/>
  <c r="AQ19" i="1" s="1"/>
  <c r="AR20" i="1"/>
  <c r="AS20" i="1"/>
  <c r="AO20" i="1"/>
  <c r="AP20" i="1" s="1"/>
  <c r="AQ20" i="1" s="1"/>
  <c r="AR22" i="1"/>
  <c r="AS22" i="1"/>
  <c r="AO22" i="1"/>
  <c r="AP22" i="1" s="1"/>
  <c r="AQ22" i="1" s="1"/>
  <c r="AR34" i="1"/>
  <c r="AS34" i="1"/>
  <c r="AO34" i="1"/>
  <c r="AP34" i="1" s="1"/>
  <c r="AQ34" i="1" s="1"/>
  <c r="AS35" i="1"/>
  <c r="AR35" i="1"/>
  <c r="AO35" i="1"/>
  <c r="AP35" i="1" s="1"/>
  <c r="AQ35" i="1" s="1"/>
  <c r="AO46" i="1"/>
  <c r="AP46" i="1" s="1"/>
  <c r="AQ46" i="1" s="1"/>
  <c r="AR46" i="1"/>
  <c r="AS46" i="1"/>
  <c r="AF46" i="1"/>
  <c r="AF38" i="1"/>
  <c r="AF45" i="1"/>
  <c r="AF34" i="1"/>
  <c r="AF37" i="1"/>
  <c r="AF39" i="1"/>
  <c r="AF42" i="1"/>
  <c r="AF35" i="1"/>
  <c r="AF36" i="1"/>
  <c r="AF41" i="1"/>
  <c r="AF44" i="1"/>
  <c r="AF40" i="1"/>
  <c r="AF43" i="1"/>
  <c r="AE34" i="1"/>
  <c r="AE36" i="1"/>
  <c r="AE44" i="1"/>
  <c r="AE35" i="1"/>
  <c r="AE43" i="1"/>
  <c r="AE46" i="1"/>
  <c r="AE38" i="1"/>
  <c r="AE37" i="1"/>
  <c r="AE40" i="1"/>
  <c r="AE45" i="1"/>
  <c r="AE39" i="1"/>
  <c r="AE41" i="1"/>
  <c r="AE42" i="1"/>
  <c r="AS42" i="1"/>
  <c r="AS44" i="1"/>
  <c r="AS43" i="1"/>
  <c r="AS45" i="1"/>
  <c r="AS36" i="1"/>
  <c r="AR36" i="1"/>
  <c r="AO36" i="1"/>
  <c r="AP36" i="1" s="1"/>
  <c r="AQ36" i="1" s="1"/>
  <c r="AO37" i="1"/>
  <c r="AP37" i="1" s="1"/>
  <c r="AQ37" i="1" s="1"/>
  <c r="AS37" i="1"/>
  <c r="AR37" i="1"/>
  <c r="AS38" i="1"/>
  <c r="AR38" i="1"/>
  <c r="AO38" i="1"/>
  <c r="AP38" i="1" s="1"/>
  <c r="AQ38" i="1" s="1"/>
  <c r="AR39" i="1"/>
  <c r="AO39" i="1"/>
  <c r="AP39" i="1" s="1"/>
  <c r="AQ39" i="1" s="1"/>
  <c r="AS39" i="1"/>
  <c r="AO40" i="1"/>
  <c r="AP40" i="1" s="1"/>
  <c r="AQ40" i="1" s="1"/>
  <c r="AR40" i="1"/>
  <c r="AS40" i="1"/>
  <c r="AS41" i="1"/>
  <c r="AR41" i="1"/>
  <c r="AO41" i="1"/>
  <c r="AP41" i="1" s="1"/>
  <c r="AQ41" i="1" s="1"/>
  <c r="AO29" i="1"/>
  <c r="AP29" i="1" s="1"/>
  <c r="AQ29" i="1" s="1"/>
  <c r="AR29" i="1"/>
  <c r="AR57" i="1"/>
  <c r="AO57" i="1"/>
  <c r="AP57" i="1" s="1"/>
  <c r="AQ57" i="1" s="1"/>
  <c r="AO48" i="1"/>
  <c r="AP48" i="1" s="1"/>
  <c r="AQ48" i="1" s="1"/>
  <c r="AR48" i="1"/>
  <c r="AS48" i="1"/>
  <c r="AF48" i="1"/>
  <c r="AF50" i="1"/>
  <c r="AF49" i="1"/>
  <c r="AF47" i="1"/>
  <c r="AE49" i="1"/>
  <c r="AE48" i="1"/>
  <c r="AE47" i="1"/>
  <c r="AE50" i="1"/>
  <c r="AS47" i="1"/>
  <c r="AR47" i="1"/>
  <c r="AS49" i="1"/>
  <c r="AR49" i="1"/>
  <c r="AO49" i="1"/>
  <c r="AP49" i="1" s="1"/>
  <c r="AQ49" i="1" s="1"/>
  <c r="AO50" i="1"/>
  <c r="AP50" i="1" s="1"/>
  <c r="AQ50" i="1" s="1"/>
  <c r="AS50" i="1"/>
  <c r="AR50" i="1"/>
  <c r="AR58" i="1"/>
  <c r="AO58" i="1"/>
  <c r="AP58" i="1" s="1"/>
  <c r="AQ58" i="1" s="1"/>
  <c r="AS55" i="1"/>
  <c r="C5" i="5" s="1"/>
  <c r="AS54" i="1"/>
  <c r="AS26" i="1"/>
  <c r="AS56" i="1"/>
  <c r="AS9" i="1"/>
  <c r="AS10" i="1"/>
  <c r="AS27" i="1"/>
  <c r="AS25" i="1"/>
  <c r="AF52" i="1"/>
  <c r="AF29" i="1"/>
  <c r="AF32" i="1"/>
  <c r="AF33" i="1"/>
  <c r="AF31" i="1"/>
  <c r="AF51" i="1"/>
  <c r="AF30" i="1"/>
  <c r="AE52" i="1"/>
  <c r="AE29" i="1"/>
  <c r="AE32" i="1"/>
  <c r="AE30" i="1"/>
  <c r="AE31" i="1"/>
  <c r="AE33" i="1"/>
  <c r="AE51" i="1"/>
  <c r="AR30" i="1"/>
  <c r="AO30" i="1"/>
  <c r="AP30" i="1" s="1"/>
  <c r="AQ30" i="1" s="1"/>
  <c r="AO31" i="1"/>
  <c r="AP31" i="1" s="1"/>
  <c r="AQ31" i="1" s="1"/>
  <c r="AR31" i="1"/>
  <c r="AR32" i="1"/>
  <c r="AO32" i="1"/>
  <c r="AP32" i="1" s="1"/>
  <c r="AQ32" i="1" s="1"/>
  <c r="AR33" i="1"/>
  <c r="AO33" i="1"/>
  <c r="AP33" i="1" s="1"/>
  <c r="AQ33" i="1" s="1"/>
  <c r="AR51" i="1"/>
  <c r="AS51" i="1"/>
  <c r="AO51" i="1"/>
  <c r="AP51" i="1" s="1"/>
  <c r="AQ51" i="1" s="1"/>
  <c r="AR54" i="1"/>
  <c r="AO54" i="1"/>
  <c r="AP54" i="1" s="1"/>
  <c r="AQ54" i="1" s="1"/>
  <c r="AR28" i="1"/>
  <c r="AS53" i="1"/>
  <c r="AS32" i="1"/>
  <c r="AS33" i="1"/>
  <c r="AS58" i="1"/>
  <c r="AS31" i="1"/>
  <c r="AS30" i="1"/>
  <c r="AS29" i="1"/>
  <c r="AS57" i="1"/>
  <c r="AS24" i="1"/>
  <c r="AS23" i="1"/>
  <c r="AS8" i="1"/>
  <c r="AS28" i="1"/>
  <c r="AO52" i="1"/>
  <c r="AP52" i="1" s="1"/>
  <c r="AQ52" i="1" s="1"/>
  <c r="AS52" i="1"/>
  <c r="AR52" i="1"/>
  <c r="AO55" i="1"/>
  <c r="AP55" i="1" s="1"/>
  <c r="AQ55" i="1" s="1"/>
  <c r="AR55" i="1"/>
  <c r="AF58" i="1"/>
  <c r="AF55" i="1"/>
  <c r="AF54" i="1"/>
  <c r="AF56" i="1"/>
  <c r="AF57" i="1"/>
  <c r="AE10" i="1"/>
  <c r="AE58" i="1"/>
  <c r="AE55" i="1"/>
  <c r="AE54" i="1"/>
  <c r="AE56" i="1"/>
  <c r="AE57" i="1"/>
  <c r="AR56" i="1"/>
  <c r="AO56" i="1"/>
  <c r="AP56" i="1" s="1"/>
  <c r="AQ56" i="1" s="1"/>
  <c r="AO9" i="1"/>
  <c r="AP9" i="1" s="1"/>
  <c r="AQ9" i="1" s="1"/>
  <c r="AR9" i="1"/>
  <c r="AF28" i="1"/>
  <c r="AF10" i="1"/>
  <c r="AR10" i="1"/>
  <c r="AO10" i="1"/>
  <c r="AP10" i="1" s="1"/>
  <c r="AQ10" i="1" s="1"/>
  <c r="AE27" i="1"/>
  <c r="AE28" i="1"/>
  <c r="AO27" i="1"/>
  <c r="AP27" i="1" s="1"/>
  <c r="AQ27" i="1" s="1"/>
  <c r="AR27" i="1"/>
  <c r="AF26" i="1"/>
  <c r="AF27" i="1"/>
  <c r="AE25" i="1"/>
  <c r="AE26" i="1"/>
  <c r="AF24" i="1"/>
  <c r="AF25" i="1"/>
  <c r="AF53" i="1"/>
  <c r="AF23" i="1"/>
  <c r="AE23" i="1"/>
  <c r="AE24" i="1"/>
  <c r="AE53" i="1"/>
  <c r="AO8" i="1"/>
  <c r="AP8" i="1" s="1"/>
  <c r="AQ8" i="1" s="1"/>
  <c r="AR24" i="1"/>
  <c r="AR8" i="1"/>
  <c r="AO23" i="1"/>
  <c r="AP23" i="1" s="1"/>
  <c r="AQ23" i="1" s="1"/>
  <c r="AR23" i="1"/>
  <c r="AO5" i="1"/>
  <c r="AR5" i="1"/>
  <c r="AO6" i="1"/>
  <c r="AR6" i="1"/>
  <c r="AO53" i="1"/>
  <c r="AP53" i="1" s="1"/>
  <c r="AQ53" i="1" s="1"/>
  <c r="AR53" i="1"/>
  <c r="AR4" i="1"/>
  <c r="AO4" i="1"/>
  <c r="AO24" i="1"/>
  <c r="AP24" i="1" s="1"/>
  <c r="AQ24" i="1" s="1"/>
  <c r="AK7" i="1"/>
  <c r="AJ7" i="1"/>
  <c r="AL7" i="1"/>
  <c r="AN7" i="1"/>
  <c r="AM7" i="1"/>
  <c r="AP15" i="21" l="1"/>
  <c r="AP13" i="21"/>
  <c r="AM45" i="21"/>
  <c r="AM21" i="21"/>
  <c r="AM14" i="21"/>
  <c r="AM15" i="21"/>
  <c r="AM17" i="21"/>
  <c r="AM18" i="21"/>
  <c r="AM19" i="21"/>
  <c r="AM16" i="21"/>
  <c r="AM20" i="21"/>
  <c r="AM23" i="21"/>
  <c r="P18" i="21"/>
  <c r="P19" i="21" s="1"/>
  <c r="L15" i="21"/>
  <c r="AC14" i="21"/>
  <c r="AE14" i="21" s="1"/>
  <c r="AB14" i="21"/>
  <c r="AD14" i="21" s="1"/>
  <c r="O16" i="21"/>
  <c r="O17" i="21" s="1"/>
  <c r="O18" i="21" s="1"/>
  <c r="O19" i="21" s="1"/>
  <c r="AM24" i="21"/>
  <c r="AM28" i="21"/>
  <c r="AM27" i="21"/>
  <c r="AM26" i="21"/>
  <c r="AM32" i="21"/>
  <c r="AM29" i="21"/>
  <c r="AM30" i="21"/>
  <c r="AM31" i="21"/>
  <c r="AM33" i="21"/>
  <c r="Q14" i="21"/>
  <c r="AO40" i="21"/>
  <c r="AO41" i="21"/>
  <c r="AO38" i="21"/>
  <c r="AO37" i="21"/>
  <c r="AO44" i="21"/>
  <c r="AO47" i="21"/>
  <c r="AO35" i="21"/>
  <c r="AO45" i="21"/>
  <c r="AO43" i="21"/>
  <c r="AO46" i="21"/>
  <c r="AN38" i="21"/>
  <c r="AN47" i="21"/>
  <c r="AN44" i="21"/>
  <c r="AN37" i="21"/>
  <c r="AN40" i="21"/>
  <c r="AN35" i="21"/>
  <c r="AN45" i="21"/>
  <c r="AN46" i="21"/>
  <c r="AN41" i="21"/>
  <c r="AN43" i="21"/>
  <c r="AO27" i="21"/>
  <c r="AO28" i="21"/>
  <c r="AO26" i="21"/>
  <c r="AO30" i="21"/>
  <c r="AO31" i="21"/>
  <c r="AO29" i="21"/>
  <c r="AO33" i="21"/>
  <c r="AO24" i="21"/>
  <c r="AO32" i="21"/>
  <c r="AO34" i="21"/>
  <c r="AN28" i="21"/>
  <c r="AN26" i="21"/>
  <c r="AN27" i="21"/>
  <c r="AN32" i="21"/>
  <c r="AN29" i="21"/>
  <c r="AN24" i="21"/>
  <c r="AN30" i="21"/>
  <c r="AN31" i="21"/>
  <c r="AN33" i="21"/>
  <c r="AN34" i="21"/>
  <c r="AO17" i="21"/>
  <c r="AO21" i="21"/>
  <c r="AO23" i="21"/>
  <c r="AO15" i="21"/>
  <c r="AO14" i="21"/>
  <c r="AO19" i="21"/>
  <c r="AO20" i="21"/>
  <c r="AO18" i="21"/>
  <c r="AO16" i="21"/>
  <c r="AL11" i="21"/>
  <c r="AN23" i="21"/>
  <c r="AN17" i="21"/>
  <c r="AN15" i="21"/>
  <c r="AN21" i="21"/>
  <c r="AN14" i="21"/>
  <c r="AN16" i="21"/>
  <c r="AN19" i="21"/>
  <c r="AN20" i="21"/>
  <c r="AN18" i="21"/>
  <c r="AY106" i="1"/>
  <c r="AP106" i="1"/>
  <c r="AQ106" i="1" s="1"/>
  <c r="C7" i="5"/>
  <c r="AU65" i="1"/>
  <c r="AU81" i="1"/>
  <c r="AU93" i="1"/>
  <c r="AU64" i="1"/>
  <c r="AU97" i="1"/>
  <c r="AU96" i="1"/>
  <c r="AU91" i="1"/>
  <c r="AU100" i="1"/>
  <c r="AU88" i="1"/>
  <c r="AU87" i="1"/>
  <c r="AU75" i="1"/>
  <c r="AU22" i="1"/>
  <c r="AU67" i="1"/>
  <c r="AU21" i="1"/>
  <c r="AU20" i="1"/>
  <c r="AU19" i="1"/>
  <c r="AU73" i="1"/>
  <c r="AU18" i="1"/>
  <c r="AU16" i="1"/>
  <c r="AU15" i="1"/>
  <c r="AU78" i="1"/>
  <c r="AU14" i="1"/>
  <c r="AU84" i="1"/>
  <c r="AU86" i="1"/>
  <c r="AU13" i="1"/>
  <c r="AU59" i="1"/>
  <c r="AU60" i="1"/>
  <c r="AU90" i="1"/>
  <c r="AU11" i="1"/>
  <c r="AU92" i="1"/>
  <c r="AU70" i="1"/>
  <c r="E6" i="5" s="1"/>
  <c r="AU69" i="1"/>
  <c r="AU68" i="1"/>
  <c r="AU12" i="1"/>
  <c r="AU82" i="1"/>
  <c r="AU72" i="1"/>
  <c r="AU101" i="1"/>
  <c r="AU17" i="1"/>
  <c r="AU98" i="1"/>
  <c r="AU95" i="1"/>
  <c r="AU61" i="1"/>
  <c r="AU62" i="1"/>
  <c r="AU99" i="1"/>
  <c r="AU74" i="1"/>
  <c r="AU63" i="1"/>
  <c r="AU76" i="1"/>
  <c r="AU94" i="1"/>
  <c r="AU89" i="1"/>
  <c r="AU85" i="1"/>
  <c r="AU79" i="1"/>
  <c r="AU83" i="1"/>
  <c r="AU80" i="1"/>
  <c r="AU71" i="1"/>
  <c r="AU66" i="1"/>
  <c r="AU77" i="1"/>
  <c r="AU102" i="1"/>
  <c r="AT84" i="1"/>
  <c r="AT21" i="1"/>
  <c r="AT99" i="1"/>
  <c r="AT19" i="1"/>
  <c r="AT20" i="1"/>
  <c r="AT22" i="1"/>
  <c r="AT95" i="1"/>
  <c r="AT100" i="1"/>
  <c r="AT78" i="1"/>
  <c r="AT74" i="1"/>
  <c r="AT60" i="1"/>
  <c r="AT73" i="1"/>
  <c r="AT87" i="1"/>
  <c r="AT88" i="1"/>
  <c r="AT91" i="1"/>
  <c r="AT102" i="1"/>
  <c r="AT81" i="1"/>
  <c r="AT71" i="1"/>
  <c r="AT90" i="1"/>
  <c r="AT80" i="1"/>
  <c r="AT96" i="1"/>
  <c r="AT92" i="1"/>
  <c r="AT86" i="1"/>
  <c r="AT98" i="1"/>
  <c r="AT101" i="1"/>
  <c r="AT72" i="1"/>
  <c r="AT11" i="1"/>
  <c r="AT75" i="1"/>
  <c r="AT77" i="1"/>
  <c r="AT79" i="1"/>
  <c r="AT12" i="1"/>
  <c r="AT83" i="1"/>
  <c r="AT62" i="1"/>
  <c r="AT61" i="1"/>
  <c r="AT63" i="1"/>
  <c r="AT64" i="1"/>
  <c r="AT65" i="1"/>
  <c r="AT66" i="1"/>
  <c r="AT67" i="1"/>
  <c r="AT68" i="1"/>
  <c r="AT69" i="1"/>
  <c r="AT70" i="1"/>
  <c r="D6" i="5" s="1"/>
  <c r="AT13" i="1"/>
  <c r="AT14" i="1"/>
  <c r="AT15" i="1"/>
  <c r="AT18" i="1"/>
  <c r="AT76" i="1"/>
  <c r="AT16" i="1"/>
  <c r="AT82" i="1"/>
  <c r="AT59" i="1"/>
  <c r="AT85" i="1"/>
  <c r="AT89" i="1"/>
  <c r="AT93" i="1"/>
  <c r="AT94" i="1"/>
  <c r="AT17" i="1"/>
  <c r="AT97" i="1"/>
  <c r="AV79" i="1"/>
  <c r="AV67" i="1"/>
  <c r="AV81" i="1"/>
  <c r="AV65" i="1"/>
  <c r="AV89" i="1"/>
  <c r="AV77" i="1"/>
  <c r="AV16" i="1"/>
  <c r="AV75" i="1"/>
  <c r="AV97" i="1"/>
  <c r="AV88" i="1"/>
  <c r="AV93" i="1"/>
  <c r="AV96" i="1"/>
  <c r="AV78" i="1"/>
  <c r="AV100" i="1"/>
  <c r="AV94" i="1"/>
  <c r="AV73" i="1"/>
  <c r="AV15" i="1"/>
  <c r="AV63" i="1"/>
  <c r="AV14" i="1"/>
  <c r="AV86" i="1"/>
  <c r="AV98" i="1"/>
  <c r="AV91" i="1"/>
  <c r="AV11" i="1"/>
  <c r="AV69" i="1"/>
  <c r="AV13" i="1"/>
  <c r="AV12" i="1"/>
  <c r="AV85" i="1"/>
  <c r="AV21" i="1"/>
  <c r="AV17" i="1"/>
  <c r="AV61" i="1"/>
  <c r="AV22" i="1"/>
  <c r="AV68" i="1"/>
  <c r="AV84" i="1"/>
  <c r="AV74" i="1"/>
  <c r="AV60" i="1"/>
  <c r="AV82" i="1"/>
  <c r="AV64" i="1"/>
  <c r="AV83" i="1"/>
  <c r="AV20" i="1"/>
  <c r="AV87" i="1"/>
  <c r="AV95" i="1"/>
  <c r="AV80" i="1"/>
  <c r="AV76" i="1"/>
  <c r="AV62" i="1"/>
  <c r="AV101" i="1"/>
  <c r="AV71" i="1"/>
  <c r="AV18" i="1"/>
  <c r="AV66" i="1"/>
  <c r="AV102" i="1"/>
  <c r="AV99" i="1"/>
  <c r="AV59" i="1"/>
  <c r="AV90" i="1"/>
  <c r="AV70" i="1"/>
  <c r="F6" i="5" s="1"/>
  <c r="AV92" i="1"/>
  <c r="AV72" i="1"/>
  <c r="AV19" i="1"/>
  <c r="AX78" i="1"/>
  <c r="AX88" i="1"/>
  <c r="AX89" i="1"/>
  <c r="AX22" i="1"/>
  <c r="AX20" i="1"/>
  <c r="AX99" i="1"/>
  <c r="AX85" i="1"/>
  <c r="AX73" i="1"/>
  <c r="AX11" i="1"/>
  <c r="AX12" i="1"/>
  <c r="AX17" i="1"/>
  <c r="AX18" i="1"/>
  <c r="AX21" i="1"/>
  <c r="AX80" i="1"/>
  <c r="AX95" i="1"/>
  <c r="AX81" i="1"/>
  <c r="AX75" i="1"/>
  <c r="AX92" i="1"/>
  <c r="AX15" i="1"/>
  <c r="AX64" i="1"/>
  <c r="AX66" i="1"/>
  <c r="AX16" i="1"/>
  <c r="AX13" i="1"/>
  <c r="AX14" i="1"/>
  <c r="AX19" i="1"/>
  <c r="AX65" i="1"/>
  <c r="AX67" i="1"/>
  <c r="AX86" i="1"/>
  <c r="AX61" i="1"/>
  <c r="AX62" i="1"/>
  <c r="AX59" i="1"/>
  <c r="AX68" i="1"/>
  <c r="AX87" i="1"/>
  <c r="AX63" i="1"/>
  <c r="AX90" i="1"/>
  <c r="AX91" i="1"/>
  <c r="AX94" i="1"/>
  <c r="AX96" i="1"/>
  <c r="AX70" i="1"/>
  <c r="H6" i="5" s="1"/>
  <c r="AX97" i="1"/>
  <c r="AX98" i="1"/>
  <c r="AX100" i="1"/>
  <c r="AX101" i="1"/>
  <c r="AX102" i="1"/>
  <c r="AX71" i="1"/>
  <c r="AX77" i="1"/>
  <c r="AX82" i="1"/>
  <c r="AX83" i="1"/>
  <c r="AX84" i="1"/>
  <c r="AX74" i="1"/>
  <c r="AX60" i="1"/>
  <c r="AX72" i="1"/>
  <c r="AX93" i="1"/>
  <c r="AX76" i="1"/>
  <c r="AX79" i="1"/>
  <c r="AX69" i="1"/>
  <c r="AW19" i="1"/>
  <c r="AW17" i="1"/>
  <c r="AW61" i="1"/>
  <c r="AW81" i="1"/>
  <c r="AW97" i="1"/>
  <c r="AW87" i="1"/>
  <c r="AW98" i="1"/>
  <c r="AW16" i="1"/>
  <c r="AW79" i="1"/>
  <c r="AW100" i="1"/>
  <c r="AW68" i="1"/>
  <c r="AW101" i="1"/>
  <c r="AW67" i="1"/>
  <c r="AW90" i="1"/>
  <c r="AW102" i="1"/>
  <c r="AW76" i="1"/>
  <c r="AW62" i="1"/>
  <c r="AW18" i="1"/>
  <c r="AW71" i="1"/>
  <c r="AW64" i="1"/>
  <c r="AW75" i="1"/>
  <c r="AW72" i="1"/>
  <c r="AW70" i="1"/>
  <c r="G6" i="5" s="1"/>
  <c r="AW89" i="1"/>
  <c r="AW14" i="1"/>
  <c r="AW80" i="1"/>
  <c r="AW82" i="1"/>
  <c r="AW15" i="1"/>
  <c r="AW60" i="1"/>
  <c r="AW20" i="1"/>
  <c r="AW83" i="1"/>
  <c r="AW13" i="1"/>
  <c r="AW78" i="1"/>
  <c r="AW59" i="1"/>
  <c r="AW77" i="1"/>
  <c r="AW12" i="1"/>
  <c r="AW91" i="1"/>
  <c r="AW94" i="1"/>
  <c r="AW11" i="1"/>
  <c r="AW86" i="1"/>
  <c r="AW95" i="1"/>
  <c r="AW21" i="1"/>
  <c r="AW73" i="1"/>
  <c r="AW93" i="1"/>
  <c r="AW85" i="1"/>
  <c r="AW88" i="1"/>
  <c r="AW66" i="1"/>
  <c r="AW65" i="1"/>
  <c r="AW74" i="1"/>
  <c r="AW99" i="1"/>
  <c r="AW69" i="1"/>
  <c r="AW96" i="1"/>
  <c r="AW22" i="1"/>
  <c r="AW92" i="1"/>
  <c r="AW63" i="1"/>
  <c r="AW84" i="1"/>
  <c r="AU45" i="1"/>
  <c r="AU44" i="1"/>
  <c r="AU36" i="1"/>
  <c r="AU42" i="1"/>
  <c r="AU34" i="1"/>
  <c r="AU40" i="1"/>
  <c r="AU46" i="1"/>
  <c r="AU43" i="1"/>
  <c r="AU41" i="1"/>
  <c r="AU35" i="1"/>
  <c r="AU38" i="1"/>
  <c r="AU39" i="1"/>
  <c r="AU37" i="1"/>
  <c r="AT42" i="1"/>
  <c r="AT45" i="1"/>
  <c r="AT37" i="1"/>
  <c r="AT41" i="1"/>
  <c r="AT34" i="1"/>
  <c r="AT46" i="1"/>
  <c r="AT40" i="1"/>
  <c r="AT39" i="1"/>
  <c r="AT43" i="1"/>
  <c r="AT36" i="1"/>
  <c r="AT38" i="1"/>
  <c r="AT35" i="1"/>
  <c r="AT44" i="1"/>
  <c r="AV45" i="1"/>
  <c r="AV44" i="1"/>
  <c r="AV46" i="1"/>
  <c r="AV42" i="1"/>
  <c r="AV43" i="1"/>
  <c r="AV34" i="1"/>
  <c r="AV35" i="1"/>
  <c r="AV37" i="1"/>
  <c r="AV40" i="1"/>
  <c r="AV41" i="1"/>
  <c r="AV36" i="1"/>
  <c r="AV38" i="1"/>
  <c r="AV39" i="1"/>
  <c r="AX35" i="1"/>
  <c r="AX38" i="1"/>
  <c r="AX36" i="1"/>
  <c r="AX37" i="1"/>
  <c r="AX42" i="1"/>
  <c r="AX46" i="1"/>
  <c r="AX34" i="1"/>
  <c r="AX45" i="1"/>
  <c r="AX41" i="1"/>
  <c r="AX44" i="1"/>
  <c r="AX39" i="1"/>
  <c r="AX40" i="1"/>
  <c r="AX43" i="1"/>
  <c r="AW40" i="1"/>
  <c r="AW41" i="1"/>
  <c r="AW34" i="1"/>
  <c r="AW36" i="1"/>
  <c r="AW35" i="1"/>
  <c r="AW45" i="1"/>
  <c r="AW43" i="1"/>
  <c r="AW42" i="1"/>
  <c r="AW44" i="1"/>
  <c r="AW46" i="1"/>
  <c r="AW37" i="1"/>
  <c r="AW38" i="1"/>
  <c r="AW39" i="1"/>
  <c r="AU51" i="1"/>
  <c r="AU49" i="1"/>
  <c r="AU50" i="1"/>
  <c r="AU47" i="1"/>
  <c r="AU48" i="1"/>
  <c r="AT51" i="1"/>
  <c r="AT47" i="1"/>
  <c r="AT49" i="1"/>
  <c r="AT50" i="1"/>
  <c r="AT48" i="1"/>
  <c r="AV51" i="1"/>
  <c r="AV49" i="1"/>
  <c r="AV47" i="1"/>
  <c r="AV48" i="1"/>
  <c r="AV50" i="1"/>
  <c r="AX51" i="1"/>
  <c r="AX49" i="1"/>
  <c r="AX48" i="1"/>
  <c r="AX50" i="1"/>
  <c r="AX47" i="1"/>
  <c r="AW51" i="1"/>
  <c r="AW48" i="1"/>
  <c r="AW47" i="1"/>
  <c r="AW50" i="1"/>
  <c r="AW49" i="1"/>
  <c r="AU32" i="1"/>
  <c r="AU24" i="1"/>
  <c r="AU52" i="1"/>
  <c r="AU9" i="1"/>
  <c r="AU29" i="1"/>
  <c r="AU30" i="1"/>
  <c r="AU31" i="1"/>
  <c r="AU56" i="1"/>
  <c r="AU27" i="1"/>
  <c r="AU53" i="1"/>
  <c r="AU28" i="1"/>
  <c r="AU23" i="1"/>
  <c r="AU25" i="1"/>
  <c r="AU57" i="1"/>
  <c r="AU26" i="1"/>
  <c r="AU33" i="1"/>
  <c r="AU58" i="1"/>
  <c r="AU10" i="1"/>
  <c r="AU55" i="1"/>
  <c r="E5" i="5" s="1"/>
  <c r="AU54" i="1"/>
  <c r="AU8" i="1"/>
  <c r="AT26" i="1"/>
  <c r="AT9" i="1"/>
  <c r="AT24" i="1"/>
  <c r="AT33" i="1"/>
  <c r="AT30" i="1"/>
  <c r="AT28" i="1"/>
  <c r="AT52" i="1"/>
  <c r="AT57" i="1"/>
  <c r="AT56" i="1"/>
  <c r="AT54" i="1"/>
  <c r="AT29" i="1"/>
  <c r="AT25" i="1"/>
  <c r="AT23" i="1"/>
  <c r="AT8" i="1"/>
  <c r="AT53" i="1"/>
  <c r="AT55" i="1"/>
  <c r="D5" i="5" s="1"/>
  <c r="AT31" i="1"/>
  <c r="AT32" i="1"/>
  <c r="AT10" i="1"/>
  <c r="AT27" i="1"/>
  <c r="AT58" i="1"/>
  <c r="AV30" i="1"/>
  <c r="AV24" i="1"/>
  <c r="AV56" i="1"/>
  <c r="AV33" i="1"/>
  <c r="AV10" i="1"/>
  <c r="AV9" i="1"/>
  <c r="AV28" i="1"/>
  <c r="AV29" i="1"/>
  <c r="AV31" i="1"/>
  <c r="AV27" i="1"/>
  <c r="AV58" i="1"/>
  <c r="AV32" i="1"/>
  <c r="AV53" i="1"/>
  <c r="AV57" i="1"/>
  <c r="AV8" i="1"/>
  <c r="AV26" i="1"/>
  <c r="AV25" i="1"/>
  <c r="AV54" i="1"/>
  <c r="AV23" i="1"/>
  <c r="AV52" i="1"/>
  <c r="AV55" i="1"/>
  <c r="F5" i="5" s="1"/>
  <c r="AX30" i="1"/>
  <c r="AX32" i="1"/>
  <c r="AX9" i="1"/>
  <c r="AX57" i="1"/>
  <c r="AX58" i="1"/>
  <c r="AX24" i="1"/>
  <c r="AX29" i="1"/>
  <c r="AX28" i="1"/>
  <c r="AX54" i="1"/>
  <c r="AX26" i="1"/>
  <c r="AX27" i="1"/>
  <c r="AX31" i="1"/>
  <c r="AX52" i="1"/>
  <c r="AX23" i="1"/>
  <c r="AX56" i="1"/>
  <c r="AX25" i="1"/>
  <c r="AX10" i="1"/>
  <c r="AX8" i="1"/>
  <c r="AX33" i="1"/>
  <c r="AX53" i="1"/>
  <c r="AX55" i="1"/>
  <c r="H5" i="5" s="1"/>
  <c r="AW31" i="1"/>
  <c r="AW53" i="1"/>
  <c r="AW32" i="1"/>
  <c r="AW54" i="1"/>
  <c r="AW9" i="1"/>
  <c r="AW23" i="1"/>
  <c r="AW30" i="1"/>
  <c r="AW28" i="1"/>
  <c r="AW33" i="1"/>
  <c r="AW29" i="1"/>
  <c r="AW57" i="1"/>
  <c r="AW27" i="1"/>
  <c r="AW52" i="1"/>
  <c r="AW55" i="1"/>
  <c r="G5" i="5" s="1"/>
  <c r="AW26" i="1"/>
  <c r="AW8" i="1"/>
  <c r="AW25" i="1"/>
  <c r="AW10" i="1"/>
  <c r="AW56" i="1"/>
  <c r="AW24" i="1"/>
  <c r="AW58" i="1"/>
  <c r="AO7" i="1"/>
  <c r="AR7" i="1"/>
  <c r="L16" i="21" l="1"/>
  <c r="N15" i="21"/>
  <c r="Q15" i="21"/>
  <c r="AB15" i="21"/>
  <c r="AD15" i="21" s="1"/>
  <c r="AC15" i="21"/>
  <c r="AE15" i="21" s="1"/>
  <c r="G7" i="5"/>
  <c r="H7" i="5"/>
  <c r="D7" i="5"/>
  <c r="F7" i="5"/>
  <c r="E7" i="5"/>
  <c r="C11" i="5" s="1"/>
  <c r="AY86" i="1"/>
  <c r="AY11" i="1"/>
  <c r="AY72" i="1"/>
  <c r="AY78" i="1"/>
  <c r="AY80" i="1"/>
  <c r="AY12" i="1"/>
  <c r="AY21" i="1"/>
  <c r="AY89" i="1"/>
  <c r="AY90" i="1"/>
  <c r="AY94" i="1"/>
  <c r="AY96" i="1"/>
  <c r="AY100" i="1"/>
  <c r="AY74" i="1"/>
  <c r="AY81" i="1"/>
  <c r="AY63" i="1"/>
  <c r="AY76" i="1"/>
  <c r="AY14" i="1"/>
  <c r="AY18" i="1"/>
  <c r="AY22" i="1"/>
  <c r="AY75" i="1"/>
  <c r="AY17" i="1"/>
  <c r="AY66" i="1"/>
  <c r="AY20" i="1"/>
  <c r="AY68" i="1"/>
  <c r="AY69" i="1"/>
  <c r="AY70" i="1"/>
  <c r="I6" i="5" s="1"/>
  <c r="AY88" i="1"/>
  <c r="AY91" i="1"/>
  <c r="AY71" i="1"/>
  <c r="AY93" i="1"/>
  <c r="AY101" i="1"/>
  <c r="AY59" i="1"/>
  <c r="AY62" i="1"/>
  <c r="AY19" i="1"/>
  <c r="AY87" i="1"/>
  <c r="AY97" i="1"/>
  <c r="AY73" i="1"/>
  <c r="AY79" i="1"/>
  <c r="AY83" i="1"/>
  <c r="AY60" i="1"/>
  <c r="AY67" i="1"/>
  <c r="AY102" i="1"/>
  <c r="AY85" i="1"/>
  <c r="AY92" i="1"/>
  <c r="AY77" i="1"/>
  <c r="AY61" i="1"/>
  <c r="AY65" i="1"/>
  <c r="AY15" i="1"/>
  <c r="AY95" i="1"/>
  <c r="AY99" i="1"/>
  <c r="AY84" i="1"/>
  <c r="AY82" i="1"/>
  <c r="AY64" i="1"/>
  <c r="AY13" i="1"/>
  <c r="AY98" i="1"/>
  <c r="AY16" i="1"/>
  <c r="AY45" i="1"/>
  <c r="AY42" i="1"/>
  <c r="AY44" i="1"/>
  <c r="AY43" i="1"/>
  <c r="AY40" i="1"/>
  <c r="AY41" i="1"/>
  <c r="AY36" i="1"/>
  <c r="AY34" i="1"/>
  <c r="AY46" i="1"/>
  <c r="AY37" i="1"/>
  <c r="AY39" i="1"/>
  <c r="AY35" i="1"/>
  <c r="AY38" i="1"/>
  <c r="AY51" i="1"/>
  <c r="AY47" i="1"/>
  <c r="AY49" i="1"/>
  <c r="AY48" i="1"/>
  <c r="AY50" i="1"/>
  <c r="AY58" i="1"/>
  <c r="AY31" i="1"/>
  <c r="AY29" i="1"/>
  <c r="AY32" i="1"/>
  <c r="AY33" i="1"/>
  <c r="AY30" i="1"/>
  <c r="AY28" i="1"/>
  <c r="AY26" i="1"/>
  <c r="AY25" i="1"/>
  <c r="AY57" i="1"/>
  <c r="AY54" i="1"/>
  <c r="AY52" i="1"/>
  <c r="AY56" i="1"/>
  <c r="AY9" i="1"/>
  <c r="AY10" i="1"/>
  <c r="AY27" i="1"/>
  <c r="AY8" i="1"/>
  <c r="AY23" i="1"/>
  <c r="AY53" i="1"/>
  <c r="AY24" i="1"/>
  <c r="AY55" i="1"/>
  <c r="I5" i="5" s="1"/>
  <c r="N16" i="21" l="1"/>
  <c r="L17" i="21"/>
  <c r="AB16" i="21"/>
  <c r="AD16" i="21" s="1"/>
  <c r="AC16" i="21"/>
  <c r="AE16" i="21" s="1"/>
  <c r="Q16" i="21"/>
  <c r="I7" i="5"/>
  <c r="C12" i="5"/>
  <c r="AC17" i="21" l="1"/>
  <c r="AE17" i="21" s="1"/>
  <c r="Q17" i="21"/>
  <c r="L18" i="21"/>
  <c r="N17" i="21"/>
  <c r="AB17" i="21"/>
  <c r="AD17" i="21" s="1"/>
  <c r="Q18" i="21"/>
  <c r="L19" i="21"/>
  <c r="AC18" i="21"/>
  <c r="AE18" i="21" s="1"/>
  <c r="H8" i="5"/>
  <c r="F8" i="5"/>
  <c r="E8" i="5"/>
  <c r="D8" i="5"/>
  <c r="G8" i="5"/>
  <c r="I8" i="5"/>
  <c r="C8" i="5"/>
  <c r="AB18" i="21" l="1"/>
  <c r="AD18" i="21" s="1"/>
  <c r="N18" i="21"/>
  <c r="L20" i="21"/>
  <c r="N19" i="21"/>
  <c r="AB19" i="21"/>
  <c r="AD19" i="21" s="1"/>
  <c r="AC19" i="21"/>
  <c r="AE19" i="21" s="1"/>
  <c r="Q19" i="21"/>
  <c r="L21" i="21" l="1"/>
  <c r="L23" i="21" s="1"/>
  <c r="Q20" i="21"/>
  <c r="AB20" i="21"/>
  <c r="AD20" i="21" s="1"/>
  <c r="N20" i="21"/>
  <c r="AC20" i="21"/>
  <c r="AE20" i="21" s="1"/>
  <c r="N21" i="21" l="1"/>
  <c r="Q21" i="21"/>
  <c r="L22" i="21"/>
  <c r="AC21" i="21"/>
  <c r="AE21" i="21" s="1"/>
  <c r="AB21" i="21"/>
  <c r="AD21" i="21" s="1"/>
  <c r="AB23" i="21"/>
  <c r="AD23" i="21" s="1"/>
  <c r="AC23" i="21"/>
  <c r="AE23" i="21" s="1"/>
  <c r="Q23" i="21"/>
  <c r="N23" i="21"/>
  <c r="N22" i="21" l="1"/>
  <c r="L24" i="21"/>
  <c r="Q24" i="21" l="1"/>
  <c r="L25" i="21"/>
  <c r="N24" i="21"/>
  <c r="L26" i="21"/>
  <c r="AC24" i="21"/>
  <c r="AE24" i="21" s="1"/>
  <c r="AB24" i="21"/>
  <c r="AD24" i="21" s="1"/>
  <c r="Q26" i="21"/>
  <c r="AB26" i="21"/>
  <c r="AD26" i="21" s="1"/>
  <c r="AC26" i="21"/>
  <c r="AE26" i="21" s="1"/>
  <c r="N26" i="21"/>
  <c r="N25" i="21" l="1"/>
  <c r="L27" i="21"/>
  <c r="Q27" i="21"/>
  <c r="L28" i="21"/>
  <c r="AB27" i="21"/>
  <c r="AD27" i="21" s="1"/>
  <c r="N27" i="21" l="1"/>
  <c r="AC27" i="21"/>
  <c r="AE27" i="21" s="1"/>
  <c r="L29" i="21"/>
  <c r="L30" i="21" s="1"/>
  <c r="Q28" i="21"/>
  <c r="N28" i="21"/>
  <c r="AB28" i="21"/>
  <c r="AD28" i="21" s="1"/>
  <c r="AC28" i="21"/>
  <c r="AE28" i="21" s="1"/>
  <c r="N29" i="21" l="1"/>
  <c r="AC29" i="21"/>
  <c r="AE29" i="21" s="1"/>
  <c r="AB29" i="21"/>
  <c r="AD29" i="21" s="1"/>
  <c r="Q29" i="21"/>
  <c r="Q30" i="21"/>
  <c r="L31" i="21"/>
  <c r="AC30" i="21"/>
  <c r="AE30" i="21" s="1"/>
  <c r="AB30" i="21"/>
  <c r="AD30" i="21" s="1"/>
  <c r="N30" i="21"/>
  <c r="Q31" i="21" l="1"/>
  <c r="AC31" i="21"/>
  <c r="AE31" i="21" s="1"/>
  <c r="N31" i="21"/>
  <c r="AB31" i="21"/>
  <c r="AD31" i="21" s="1"/>
  <c r="L32" i="21"/>
  <c r="Q32" i="21" l="1"/>
  <c r="L33" i="21"/>
  <c r="AB32" i="21"/>
  <c r="AD32" i="21" s="1"/>
  <c r="AC32" i="21"/>
  <c r="AE32" i="21" s="1"/>
  <c r="N32" i="21"/>
  <c r="N33" i="21" l="1"/>
  <c r="L34" i="21"/>
  <c r="Q33" i="21"/>
  <c r="AC33" i="21"/>
  <c r="AE33" i="21" s="1"/>
  <c r="AB33" i="21"/>
  <c r="AD33" i="21" s="1"/>
  <c r="Q34" i="21" l="1"/>
  <c r="L35" i="21"/>
  <c r="N34" i="21"/>
  <c r="AB34" i="21"/>
  <c r="AD34" i="21" s="1"/>
  <c r="AC34" i="21"/>
  <c r="AE34" i="21" s="1"/>
  <c r="L36" i="21" l="1"/>
  <c r="N36" i="21" s="1"/>
  <c r="L37" i="21"/>
  <c r="Q35" i="21"/>
  <c r="AB35" i="21"/>
  <c r="AD35" i="21" s="1"/>
  <c r="N35" i="21"/>
  <c r="AC35" i="21"/>
  <c r="AE35" i="21" s="1"/>
  <c r="AB37" i="21" l="1"/>
  <c r="AD37" i="21" s="1"/>
  <c r="N37" i="21"/>
  <c r="AC37" i="21"/>
  <c r="AE37" i="21" s="1"/>
  <c r="Q37" i="21"/>
  <c r="L38" i="21"/>
  <c r="Q38" i="21"/>
  <c r="L40" i="21"/>
  <c r="N38" i="21"/>
  <c r="AC38" i="21"/>
  <c r="AE38" i="21" s="1"/>
  <c r="AB38" i="21"/>
  <c r="AD38" i="21" s="1"/>
  <c r="Q40" i="21" l="1"/>
  <c r="L41" i="21"/>
  <c r="L43" i="21" s="1"/>
  <c r="AC40" i="21"/>
  <c r="AE40" i="21" s="1"/>
  <c r="AB40" i="21"/>
  <c r="AD40" i="21" s="1"/>
  <c r="N40" i="21"/>
  <c r="Q41" i="21" l="1"/>
  <c r="N41" i="21"/>
  <c r="AB41" i="21"/>
  <c r="AD41" i="21" s="1"/>
  <c r="AC41" i="21"/>
  <c r="AE41" i="21" s="1"/>
  <c r="L44" i="21"/>
  <c r="Q44" i="21" s="1"/>
  <c r="Q43" i="21"/>
  <c r="N43" i="21"/>
  <c r="AB43" i="21"/>
  <c r="AD43" i="21" s="1"/>
  <c r="AC43" i="21"/>
  <c r="AE43" i="21" s="1"/>
  <c r="L45" i="21" l="1"/>
  <c r="N44" i="21"/>
  <c r="AB44" i="21"/>
  <c r="AD44" i="21" s="1"/>
  <c r="AC44" i="21"/>
  <c r="AE44" i="21" s="1"/>
  <c r="AB45" i="21" l="1"/>
  <c r="AD45" i="21" s="1"/>
  <c r="Q45" i="21"/>
  <c r="AC45" i="21"/>
  <c r="AE45" i="21" s="1"/>
  <c r="L46" i="21"/>
  <c r="N45" i="21"/>
  <c r="L47" i="21" l="1"/>
  <c r="Q46" i="21"/>
  <c r="AC46" i="21"/>
  <c r="AE46" i="21" s="1"/>
  <c r="AB46" i="21"/>
  <c r="AD46" i="21" s="1"/>
  <c r="N46" i="21"/>
  <c r="AB47" i="21" l="1"/>
  <c r="AD47" i="21" s="1"/>
  <c r="N47" i="21"/>
  <c r="AC47" i="21"/>
  <c r="AE47" i="21" s="1"/>
  <c r="Q47" i="21"/>
</calcChain>
</file>

<file path=xl/sharedStrings.xml><?xml version="1.0" encoding="utf-8"?>
<sst xmlns="http://schemas.openxmlformats.org/spreadsheetml/2006/main" count="1864" uniqueCount="337">
  <si>
    <t>Name ▾</t>
  </si>
  <si>
    <t>G</t>
  </si>
  <si>
    <t>AB</t>
  </si>
  <si>
    <t>R</t>
  </si>
  <si>
    <t>H</t>
  </si>
  <si>
    <t>2B</t>
  </si>
  <si>
    <t>3B</t>
  </si>
  <si>
    <t>HR</t>
  </si>
  <si>
    <t>RBI</t>
  </si>
  <si>
    <t>TB</t>
  </si>
  <si>
    <t>BB</t>
  </si>
  <si>
    <t>K</t>
  </si>
  <si>
    <t>SB</t>
  </si>
  <si>
    <t>CS</t>
  </si>
  <si>
    <t>AVG</t>
  </si>
  <si>
    <t>OBP</t>
  </si>
  <si>
    <t>SLG</t>
  </si>
  <si>
    <t>OPS</t>
  </si>
  <si>
    <t>Baseline 1</t>
  </si>
  <si>
    <t>Baseline 2</t>
  </si>
  <si>
    <t>Baseline 3</t>
  </si>
  <si>
    <t>Diabolical</t>
  </si>
  <si>
    <t>AvK</t>
  </si>
  <si>
    <t>BABIP</t>
  </si>
  <si>
    <t>Gap</t>
  </si>
  <si>
    <t>Power</t>
  </si>
  <si>
    <t>Eye</t>
  </si>
  <si>
    <t>PA</t>
  </si>
  <si>
    <t>calc</t>
  </si>
  <si>
    <t>2B%</t>
  </si>
  <si>
    <t>3B%</t>
  </si>
  <si>
    <t>HR%</t>
  </si>
  <si>
    <t>BB%</t>
  </si>
  <si>
    <t>K%</t>
  </si>
  <si>
    <t>Baseline Average</t>
  </si>
  <si>
    <t>BABIP20</t>
  </si>
  <si>
    <t>BABIP25</t>
  </si>
  <si>
    <t>WOBA weights</t>
  </si>
  <si>
    <t>1B%</t>
  </si>
  <si>
    <t>wOBA</t>
  </si>
  <si>
    <t>W</t>
  </si>
  <si>
    <t>L</t>
  </si>
  <si>
    <t>Runs Scored</t>
  </si>
  <si>
    <t>Runs Allowed</t>
  </si>
  <si>
    <t>winpct</t>
  </si>
  <si>
    <t>runs/G</t>
  </si>
  <si>
    <t>win/162 delta</t>
  </si>
  <si>
    <t>runs/162 delta</t>
  </si>
  <si>
    <t>Team A</t>
  </si>
  <si>
    <t>Team B</t>
  </si>
  <si>
    <t>n/a</t>
  </si>
  <si>
    <t>BABIP30</t>
  </si>
  <si>
    <t>BABIP35</t>
  </si>
  <si>
    <t>BABIP40</t>
  </si>
  <si>
    <t>BABIP45</t>
  </si>
  <si>
    <t>BABIP55</t>
  </si>
  <si>
    <t>BABIP60</t>
  </si>
  <si>
    <t>BABIP65</t>
  </si>
  <si>
    <t>BABIP70</t>
  </si>
  <si>
    <t>BABIP75</t>
  </si>
  <si>
    <t>DiabolicalPower55</t>
  </si>
  <si>
    <t>DiabolicalPower50</t>
  </si>
  <si>
    <t>GO+FO%</t>
  </si>
  <si>
    <t>Hitter Scale</t>
  </si>
  <si>
    <t>POW45</t>
  </si>
  <si>
    <t>POW55</t>
  </si>
  <si>
    <t>POW60</t>
  </si>
  <si>
    <t>POW65</t>
  </si>
  <si>
    <t>POW70</t>
  </si>
  <si>
    <t>POW75</t>
  </si>
  <si>
    <t>POW80</t>
  </si>
  <si>
    <t>Deltas</t>
  </si>
  <si>
    <t>POW40</t>
  </si>
  <si>
    <t>POW20</t>
  </si>
  <si>
    <t>POW25</t>
  </si>
  <si>
    <t>POW30</t>
  </si>
  <si>
    <t>POW35</t>
  </si>
  <si>
    <t>AVK</t>
  </si>
  <si>
    <t>GAP</t>
  </si>
  <si>
    <t>POW</t>
  </si>
  <si>
    <t>EYE</t>
  </si>
  <si>
    <t>Estimate</t>
  </si>
  <si>
    <t>GAP45</t>
  </si>
  <si>
    <t>EYE45</t>
  </si>
  <si>
    <t>GAP20</t>
  </si>
  <si>
    <t>GAP25</t>
  </si>
  <si>
    <t>GAP30</t>
  </si>
  <si>
    <t>GAP35</t>
  </si>
  <si>
    <t>GAP40</t>
  </si>
  <si>
    <t>GAP55</t>
  </si>
  <si>
    <t>GAP60</t>
  </si>
  <si>
    <t>GAP65</t>
  </si>
  <si>
    <t>GAP70</t>
  </si>
  <si>
    <t>GAP75</t>
  </si>
  <si>
    <t>GAP80</t>
  </si>
  <si>
    <t>BABIP80</t>
  </si>
  <si>
    <t>AVK20</t>
  </si>
  <si>
    <t>AVK25</t>
  </si>
  <si>
    <t>AVK30</t>
  </si>
  <si>
    <t>AVK35</t>
  </si>
  <si>
    <t>AVK40</t>
  </si>
  <si>
    <t>AVK45</t>
  </si>
  <si>
    <t>AVK55</t>
  </si>
  <si>
    <t>AVK60</t>
  </si>
  <si>
    <t>AVK65</t>
  </si>
  <si>
    <t>AVK70</t>
  </si>
  <si>
    <t>AVK75</t>
  </si>
  <si>
    <t>AVK80</t>
  </si>
  <si>
    <t>EYE65</t>
  </si>
  <si>
    <t>Intercept</t>
  </si>
  <si>
    <t>SS</t>
  </si>
  <si>
    <t>X Variable 1</t>
  </si>
  <si>
    <t>EYE60</t>
  </si>
  <si>
    <t>EYE55</t>
  </si>
  <si>
    <t>EYE35</t>
  </si>
  <si>
    <t>EYE25</t>
  </si>
  <si>
    <t>EYE30</t>
  </si>
  <si>
    <t>EYE40</t>
  </si>
  <si>
    <t>EYE70</t>
  </si>
  <si>
    <t>EYE75</t>
  </si>
  <si>
    <t>EYE80</t>
  </si>
  <si>
    <t>EYE20</t>
  </si>
  <si>
    <t>WAA estimate</t>
  </si>
  <si>
    <t>wOBA estimate</t>
  </si>
  <si>
    <t>Normalized</t>
  </si>
  <si>
    <t>IBB+HBP%</t>
  </si>
  <si>
    <t>opp runs/G</t>
  </si>
  <si>
    <t>AVK20xEYE20</t>
  </si>
  <si>
    <t>AVK20xEYE35</t>
  </si>
  <si>
    <t>AVK20xEYE65</t>
  </si>
  <si>
    <t>AVK20xEYE80</t>
  </si>
  <si>
    <t>AVK35xEYE20</t>
  </si>
  <si>
    <t>AVK35xEYE35</t>
  </si>
  <si>
    <t>AVK35xEYE65</t>
  </si>
  <si>
    <t>AVK35xEYE80</t>
  </si>
  <si>
    <t>AVK65xEYE20</t>
  </si>
  <si>
    <t>AVK65xEYE35</t>
  </si>
  <si>
    <t>AVK65xEYE65</t>
  </si>
  <si>
    <t>AVK65xEYE80</t>
  </si>
  <si>
    <t>AVK80xEYE20</t>
  </si>
  <si>
    <t>AVK80xEYE35</t>
  </si>
  <si>
    <t>AVK80xEYE65</t>
  </si>
  <si>
    <t>AVK80xEYE80</t>
  </si>
  <si>
    <t>Fielding Scale</t>
  </si>
  <si>
    <t>POW20xEYE20</t>
  </si>
  <si>
    <t>POW20xEYE35</t>
  </si>
  <si>
    <t>POW20xEYE65</t>
  </si>
  <si>
    <t>POW20xEYE80</t>
  </si>
  <si>
    <t>POW35xEYE20</t>
  </si>
  <si>
    <t>POW35xEYE35</t>
  </si>
  <si>
    <t>POW35xEYE65</t>
  </si>
  <si>
    <t>POW35xEYE80</t>
  </si>
  <si>
    <t>POW65xEYE20</t>
  </si>
  <si>
    <t>POW65xEYE35</t>
  </si>
  <si>
    <t>POW65xEYE65</t>
  </si>
  <si>
    <t>POW65xEYE80</t>
  </si>
  <si>
    <t>POW80xEYE20</t>
  </si>
  <si>
    <t>POW80xEYE35</t>
  </si>
  <si>
    <t>POW80xEYE65</t>
  </si>
  <si>
    <t>POW80xEYE80</t>
  </si>
  <si>
    <t>Position</t>
  </si>
  <si>
    <t>Runs scored</t>
  </si>
  <si>
    <t>Runs allowed</t>
  </si>
  <si>
    <t>run conc/G</t>
  </si>
  <si>
    <t>run/162 delta</t>
  </si>
  <si>
    <t>Baseline</t>
  </si>
  <si>
    <t>Games</t>
  </si>
  <si>
    <t>Name</t>
  </si>
  <si>
    <t>Arm</t>
  </si>
  <si>
    <t>Turn DP</t>
  </si>
  <si>
    <t>run score/G</t>
  </si>
  <si>
    <t>1B</t>
  </si>
  <si>
    <t>Range/Blocking</t>
  </si>
  <si>
    <t>Error/Framing</t>
  </si>
  <si>
    <t>CF</t>
  </si>
  <si>
    <t>N/A</t>
  </si>
  <si>
    <t>predicted wAA</t>
  </si>
  <si>
    <t>batR</t>
  </si>
  <si>
    <t>CF-Systematic</t>
  </si>
  <si>
    <t>RNG80xERR80xARM80</t>
  </si>
  <si>
    <t>LF-Systematic</t>
  </si>
  <si>
    <t>C-Systematic</t>
  </si>
  <si>
    <t>RF-Systematic</t>
  </si>
  <si>
    <t>SPD20</t>
  </si>
  <si>
    <t>Speed</t>
  </si>
  <si>
    <t>SPD25</t>
  </si>
  <si>
    <t>SPD30</t>
  </si>
  <si>
    <t>SPD40</t>
  </si>
  <si>
    <t>SPD45</t>
  </si>
  <si>
    <t>SPD60</t>
  </si>
  <si>
    <t>SPD55</t>
  </si>
  <si>
    <t>SPD65</t>
  </si>
  <si>
    <t>SPD70</t>
  </si>
  <si>
    <t>SPD75</t>
  </si>
  <si>
    <t>SPD80</t>
  </si>
  <si>
    <t>SPD35</t>
  </si>
  <si>
    <t>Player with ratings amends is starting pitcher 1; 100k games simmed for each metric change; 54% groundball rate unless amended. RHB vs RHP</t>
  </si>
  <si>
    <t>Implied FIP constant</t>
  </si>
  <si>
    <t>Tango 1b</t>
  </si>
  <si>
    <t xml:space="preserve">&lt;&lt;&lt; derives weighted value of (HA-HR) on </t>
  </si>
  <si>
    <t xml:space="preserve">Estimated batters faced simplifying assumption per </t>
  </si>
  <si>
    <t>https://www.baseballthinkfactory.org/mccracken/dipsexpl.html#:~:text=Batters%20Faced%20(BFP)%20%2D%20If,)%2BHits%2BWalks%2BStrikeouts.</t>
  </si>
  <si>
    <t>2b</t>
  </si>
  <si>
    <t xml:space="preserve">        Tango run value scale based on all-50</t>
  </si>
  <si>
    <t>HR allowed on editor screen moves 1:1 with 'raw movement' when groundball kept at 54%</t>
  </si>
  <si>
    <t>3b</t>
  </si>
  <si>
    <t xml:space="preserve">         hitter 1B, 2B and 3B %s</t>
  </si>
  <si>
    <t>Pitcher rating change tested</t>
  </si>
  <si>
    <t>Pitcher A FIP</t>
  </si>
  <si>
    <t>Pitcher A WAR</t>
  </si>
  <si>
    <t>Pitcher A</t>
  </si>
  <si>
    <t>Delta vs all-50 pitcher with 54% groundball</t>
  </si>
  <si>
    <t>Metric</t>
  </si>
  <si>
    <t>in Editor</t>
  </si>
  <si>
    <t>IP</t>
  </si>
  <si>
    <t>HA</t>
  </si>
  <si>
    <t>WHIP</t>
  </si>
  <si>
    <t>FIPish</t>
  </si>
  <si>
    <t>estBF</t>
  </si>
  <si>
    <t>(HA-HR)%</t>
  </si>
  <si>
    <t>HRA</t>
  </si>
  <si>
    <t>STF</t>
  </si>
  <si>
    <t>PBABIP</t>
  </si>
  <si>
    <t>Control</t>
  </si>
  <si>
    <t>Earned Runs</t>
  </si>
  <si>
    <t>Runs</t>
  </si>
  <si>
    <t>OAVG</t>
  </si>
  <si>
    <t>Sims</t>
  </si>
  <si>
    <t>Shorthand</t>
  </si>
  <si>
    <t>Pitcher Min</t>
  </si>
  <si>
    <t>Pitcher Max</t>
  </si>
  <si>
    <t>Baseline Pitcher</t>
  </si>
  <si>
    <t>Fastball</t>
  </si>
  <si>
    <t>Curve</t>
  </si>
  <si>
    <t>Sinker</t>
  </si>
  <si>
    <t>Splitter</t>
  </si>
  <si>
    <t>CTRL</t>
  </si>
  <si>
    <t>HRA/CTRL/PBABIP</t>
  </si>
  <si>
    <t>pwOBA</t>
  </si>
  <si>
    <t>Pitcher Type</t>
  </si>
  <si>
    <t>SP</t>
  </si>
  <si>
    <t>STAM</t>
  </si>
  <si>
    <t>HRAxCTRL</t>
  </si>
  <si>
    <t>Top VELO</t>
  </si>
  <si>
    <t>IP/G</t>
  </si>
  <si>
    <t>C</t>
  </si>
  <si>
    <t>RF</t>
  </si>
  <si>
    <t>LF</t>
  </si>
  <si>
    <t>BLK20xFRM20xARM20</t>
  </si>
  <si>
    <t>BLK80xFRM80xARM80</t>
  </si>
  <si>
    <t>BLK55xFRM20xARM55</t>
  </si>
  <si>
    <t>BLK55xFRM30xARM55</t>
  </si>
  <si>
    <t>BLK55xFRM40xARM55</t>
  </si>
  <si>
    <t>BLK55xFRM45xARM55</t>
  </si>
  <si>
    <t>BLK55xFRM50xARM55</t>
  </si>
  <si>
    <t>BLK55xFRM60xARM55</t>
  </si>
  <si>
    <t>BLK55xFRM65xARM55</t>
  </si>
  <si>
    <t>BLK55xFRM70xARM55</t>
  </si>
  <si>
    <t>BLK55xFRM80xARM55</t>
  </si>
  <si>
    <t>RNG20xERR20xARM20xTDP20</t>
  </si>
  <si>
    <t>RNG80xERR80xARM80xTDP80</t>
  </si>
  <si>
    <t>RNG20xERR55xARM50xTDP55</t>
  </si>
  <si>
    <t>RNG40xERR55xARM50xTDP55</t>
  </si>
  <si>
    <t>RNG50xERR55xARM50xTDP55</t>
  </si>
  <si>
    <t>RNG60xERR55xARM50xTDP55</t>
  </si>
  <si>
    <t>RNG65xERR55xARM50xTDP55</t>
  </si>
  <si>
    <t>RNG70xERR55xARM50xTDP55</t>
  </si>
  <si>
    <t>RNG80xERR55xARM50xTDP55</t>
  </si>
  <si>
    <t>RNG20xERR55xARM60xTDP50</t>
  </si>
  <si>
    <t>RNG40xERR55xARM60xTDP50</t>
  </si>
  <si>
    <t>RNG45xERR55xARM60xTDP50</t>
  </si>
  <si>
    <t>RNG55xERR55xARM60xTDP50</t>
  </si>
  <si>
    <t>RNG60xERR55xARM60xTDP50</t>
  </si>
  <si>
    <t>RNG70xERR55xARM60xTDP50</t>
  </si>
  <si>
    <t>RNG80xERR55xARM60xTDP50</t>
  </si>
  <si>
    <t>RNG50xERR55xARM20xTDP50</t>
  </si>
  <si>
    <t>RNG50xERR55xARM40xTDP50</t>
  </si>
  <si>
    <t>RNG50xERR55xARM45xTDP50</t>
  </si>
  <si>
    <t>RNG50xERR55xARM50xTDP50</t>
  </si>
  <si>
    <t>RNG50xERR55xARM55xTDP50</t>
  </si>
  <si>
    <t>RNG50xERR55xARM65xTDP50</t>
  </si>
  <si>
    <t>RNG50xERR55xARM70xTDP50</t>
  </si>
  <si>
    <t>RNG50xERR55xARM75xTDP50</t>
  </si>
  <si>
    <t>RNG50xERR55xARM80xTDP50</t>
  </si>
  <si>
    <t>RNG20xERR60xARM60xTDP60</t>
  </si>
  <si>
    <t>RNG40xERR60xARM60xTDP60</t>
  </si>
  <si>
    <t>RNG50xERR60xARM60xTDP60</t>
  </si>
  <si>
    <t>RNG55xERR60xARM60xTDP60</t>
  </si>
  <si>
    <t>RNG65xERR60xARM60xTDP60</t>
  </si>
  <si>
    <t>RNG70xERR60xARM60xTDP60</t>
  </si>
  <si>
    <t>RNG75xERR60xARM60xTDP60</t>
  </si>
  <si>
    <t>RNG80xERR60xARM60xTDP60</t>
  </si>
  <si>
    <t>RNG20xERR20xARM20</t>
  </si>
  <si>
    <t>RNG20xERR50xARM55</t>
  </si>
  <si>
    <t>RNG40xERR50xARM55</t>
  </si>
  <si>
    <t>RNG50xERR50xARM55</t>
  </si>
  <si>
    <t>RNG55xERR50xARM55</t>
  </si>
  <si>
    <t>RNG65xERR50xARM55</t>
  </si>
  <si>
    <t>RNG70xERR50xARM55</t>
  </si>
  <si>
    <t>RNG75xERR50xARM55</t>
  </si>
  <si>
    <t>RNG80xERR50xARM55</t>
  </si>
  <si>
    <t>RNG20xERR50xARM50</t>
  </si>
  <si>
    <t>RNG40xERR50xARM50</t>
  </si>
  <si>
    <t>RNG45xERR50xARM50</t>
  </si>
  <si>
    <t>RNG55xERR50xARM50</t>
  </si>
  <si>
    <t>RNG60xERR50xARM50</t>
  </si>
  <si>
    <t>RNG65xERR50xARM50</t>
  </si>
  <si>
    <t>RNG70xERR50xARM50</t>
  </si>
  <si>
    <t>RNG80xERR50xARM50</t>
  </si>
  <si>
    <t>RNG50xERR50xARM20</t>
  </si>
  <si>
    <t>RNG50xERR50xARM40</t>
  </si>
  <si>
    <t>RNG50xERR50xARM45</t>
  </si>
  <si>
    <t>RNG50xERR50xARM60</t>
  </si>
  <si>
    <t>RNG50xERR50xARM65</t>
  </si>
  <si>
    <t>RNG50xERR50xARM70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</si>
  <si>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</si>
  <si>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</si>
  <si>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</si>
  <si>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</si>
  <si>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</si>
  <si>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</si>
  <si>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</si>
  <si>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</si>
  <si>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</si>
  <si>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</si>
  <si>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</si>
  <si>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df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</si>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</sst>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32">
    <xf numFmtId="0" fontId="0" fillId="0" borderId="0" xfId="0"/>
    <xf numFmtId="0" fontId="4" fillId="0" borderId="0" xfId="0" applyFont="1"/>
    <xf numFmtId="164" fontId="0" fillId="0" borderId="0" xfId="1" applyNumberFormat="1" applyFont="1"/>
    <xf numFmtId="1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64" fontId="0" fillId="0" borderId="0" xfId="0" applyNumberFormat="1"/>
    <xf numFmtId="2" fontId="5" fillId="0" borderId="0" xfId="0" applyNumberFormat="1" applyFont="1" applyAlignment="1">
      <alignment horizontal="left"/>
    </xf>
    <xf numFmtId="10" fontId="0" fillId="0" borderId="0" xfId="1" applyNumberFormat="1" applyFont="1"/>
    <xf numFmtId="166" fontId="2" fillId="2" borderId="0" xfId="2" applyNumberFormat="1"/>
    <xf numFmtId="164" fontId="2" fillId="2" borderId="0" xfId="2" applyNumberFormat="1"/>
    <xf numFmtId="2" fontId="0" fillId="0" borderId="0" xfId="1" applyNumberFormat="1" applyFont="1"/>
    <xf numFmtId="0" fontId="0" fillId="3" borderId="0" xfId="0" applyFill="1"/>
    <xf numFmtId="0" fontId="3" fillId="0" borderId="0" xfId="0" applyFont="1" applyAlignment="1">
      <alignment horizontal="center" vertical="center"/>
    </xf>
    <xf numFmtId="10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4" borderId="0" xfId="3"/>
    <xf numFmtId="1" fontId="1" fillId="4" borderId="0" xfId="3" applyNumberFormat="1"/>
    <xf numFmtId="10" fontId="1" fillId="4" borderId="0" xfId="3" applyNumberFormat="1"/>
    <xf numFmtId="2" fontId="1" fillId="4" borderId="0" xfId="3" applyNumberFormat="1"/>
    <xf numFmtId="165" fontId="1" fillId="4" borderId="0" xfId="3" applyNumberFormat="1"/>
    <xf numFmtId="0" fontId="0" fillId="4" borderId="0" xfId="3" applyFont="1"/>
    <xf numFmtId="0" fontId="1" fillId="5" borderId="0" xfId="4"/>
    <xf numFmtId="1" fontId="1" fillId="5" borderId="0" xfId="4" applyNumberFormat="1"/>
    <xf numFmtId="166" fontId="1" fillId="5" borderId="0" xfId="4" applyNumberFormat="1"/>
    <xf numFmtId="10" fontId="1" fillId="5" borderId="0" xfId="4" applyNumberFormat="1"/>
    <xf numFmtId="164" fontId="1" fillId="5" borderId="0" xfId="4" applyNumberFormat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0" fillId="0" borderId="0" xfId="0" applyAlignment="1">
      <alignment horizontal="center"/>
    </xf>
  </cellXfs>
  <cellStyles count="5">
    <cellStyle name="20% - Accent6" xfId="4" builtinId="50"/>
    <cellStyle name="40% - Accent6" xfId="3" builtinId="51"/>
    <cellStyle name="Good" xfId="2" builtinId="26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25FC7-B408-4F24-8ABC-CE644EDD3844}">
  <dimension ref="A2:P302"/>
  <sheetViews>
    <sheetView topLeftCell="C230" zoomScale="115" zoomScaleNormal="115" workbookViewId="0">
      <selection activeCell="B223" sqref="B223:P224"/>
    </sheetView>
  </sheetViews>
  <sheetFormatPr defaultRowHeight="14.35" x14ac:dyDescent="0.5"/>
  <cols>
    <col min="1" max="1" width="12" bestFit="1" customWidth="1"/>
    <col min="2" max="2" width="24.703125" bestFit="1" customWidth="1"/>
    <col min="3" max="3" width="12.9375" bestFit="1" customWidth="1"/>
    <col min="4" max="4" width="11.3515625" bestFit="1" customWidth="1"/>
    <col min="5" max="5" width="3.8203125" bestFit="1" customWidth="1"/>
    <col min="6" max="7" width="6.703125" bestFit="1" customWidth="1"/>
    <col min="8" max="8" width="6.3515625" bestFit="1" customWidth="1"/>
    <col min="9" max="9" width="6.703125" bestFit="1" customWidth="1"/>
    <col min="10" max="10" width="10.29296875" style="3" bestFit="1" customWidth="1"/>
    <col min="11" max="11" width="11.1171875" style="3" bestFit="1" customWidth="1"/>
    <col min="12" max="12" width="6.703125" bestFit="1" customWidth="1"/>
    <col min="13" max="13" width="9.8203125" bestFit="1" customWidth="1"/>
    <col min="14" max="14" width="9.41015625" bestFit="1" customWidth="1"/>
    <col min="15" max="15" width="11.29296875" bestFit="1" customWidth="1"/>
    <col min="16" max="16" width="11.17578125" bestFit="1" customWidth="1"/>
  </cols>
  <sheetData>
    <row r="2" spans="1:16" x14ac:dyDescent="0.5">
      <c r="H2" t="s">
        <v>48</v>
      </c>
      <c r="I2" t="s">
        <v>48</v>
      </c>
      <c r="J2" s="3" t="s">
        <v>48</v>
      </c>
      <c r="K2" s="3" t="s">
        <v>48</v>
      </c>
      <c r="L2" t="s">
        <v>48</v>
      </c>
      <c r="M2" t="s">
        <v>48</v>
      </c>
      <c r="N2" t="s">
        <v>48</v>
      </c>
      <c r="O2" t="s">
        <v>48</v>
      </c>
      <c r="P2" t="s">
        <v>48</v>
      </c>
    </row>
    <row r="3" spans="1:16" x14ac:dyDescent="0.5">
      <c r="A3" t="s">
        <v>160</v>
      </c>
      <c r="B3" t="s">
        <v>167</v>
      </c>
      <c r="C3" t="s">
        <v>172</v>
      </c>
      <c r="D3" t="s">
        <v>173</v>
      </c>
      <c r="E3" t="s">
        <v>168</v>
      </c>
      <c r="F3" t="s">
        <v>169</v>
      </c>
      <c r="G3" t="s">
        <v>166</v>
      </c>
      <c r="H3" s="16" t="s">
        <v>40</v>
      </c>
      <c r="I3" s="16" t="s">
        <v>41</v>
      </c>
      <c r="J3" s="3" t="s">
        <v>161</v>
      </c>
      <c r="K3" s="3" t="s">
        <v>162</v>
      </c>
      <c r="L3" t="s">
        <v>44</v>
      </c>
      <c r="M3" t="s">
        <v>170</v>
      </c>
      <c r="N3" t="s">
        <v>163</v>
      </c>
      <c r="O3" t="s">
        <v>46</v>
      </c>
      <c r="P3" t="s">
        <v>164</v>
      </c>
    </row>
    <row r="4" spans="1:16" hidden="1" x14ac:dyDescent="0.5">
      <c r="A4" t="s">
        <v>110</v>
      </c>
      <c r="B4" t="s">
        <v>165</v>
      </c>
      <c r="C4">
        <v>60</v>
      </c>
      <c r="D4">
        <v>60</v>
      </c>
      <c r="E4">
        <v>55</v>
      </c>
      <c r="F4">
        <v>50</v>
      </c>
      <c r="G4">
        <v>100000</v>
      </c>
      <c r="H4" s="3">
        <v>50231</v>
      </c>
      <c r="I4">
        <f>G4-H4</f>
        <v>49769</v>
      </c>
      <c r="J4" s="3">
        <v>434612</v>
      </c>
      <c r="K4" s="3">
        <v>433939</v>
      </c>
      <c r="L4" s="9">
        <f t="shared" ref="L4:L6" si="0">H4/G4</f>
        <v>0.50231000000000003</v>
      </c>
      <c r="M4" s="5">
        <f t="shared" ref="M4:M6" si="1">J4/G4</f>
        <v>4.34612</v>
      </c>
      <c r="N4" s="5">
        <f t="shared" ref="N4:N6" si="2">K4/G4</f>
        <v>4.3393899999999999</v>
      </c>
    </row>
    <row r="5" spans="1:16" hidden="1" x14ac:dyDescent="0.5">
      <c r="A5" t="s">
        <v>110</v>
      </c>
      <c r="B5" t="s">
        <v>165</v>
      </c>
      <c r="C5">
        <v>60</v>
      </c>
      <c r="D5">
        <v>60</v>
      </c>
      <c r="E5">
        <v>55</v>
      </c>
      <c r="F5">
        <v>50</v>
      </c>
      <c r="G5">
        <v>100000</v>
      </c>
      <c r="H5" s="3">
        <v>50093</v>
      </c>
      <c r="I5">
        <f t="shared" ref="I5:I68" si="3">G5-H5</f>
        <v>49907</v>
      </c>
      <c r="J5" s="3">
        <v>434305</v>
      </c>
      <c r="K5" s="3">
        <v>433615</v>
      </c>
      <c r="L5" s="9">
        <f t="shared" si="0"/>
        <v>0.50092999999999999</v>
      </c>
      <c r="M5" s="5">
        <f t="shared" si="1"/>
        <v>4.3430499999999999</v>
      </c>
      <c r="N5" s="5">
        <f t="shared" si="2"/>
        <v>4.3361499999999999</v>
      </c>
    </row>
    <row r="6" spans="1:16" hidden="1" x14ac:dyDescent="0.5">
      <c r="A6" t="s">
        <v>110</v>
      </c>
      <c r="B6" t="s">
        <v>165</v>
      </c>
      <c r="C6">
        <v>60</v>
      </c>
      <c r="D6">
        <v>60</v>
      </c>
      <c r="E6">
        <v>55</v>
      </c>
      <c r="F6">
        <v>50</v>
      </c>
      <c r="G6">
        <v>100000</v>
      </c>
      <c r="H6" s="3">
        <v>50118</v>
      </c>
      <c r="I6">
        <f t="shared" si="3"/>
        <v>49882</v>
      </c>
      <c r="J6" s="3">
        <v>434377</v>
      </c>
      <c r="K6" s="3">
        <v>434430</v>
      </c>
      <c r="L6" s="9">
        <f t="shared" si="0"/>
        <v>0.50117999999999996</v>
      </c>
      <c r="M6" s="5">
        <f t="shared" si="1"/>
        <v>4.3437700000000001</v>
      </c>
      <c r="N6" s="5">
        <f t="shared" si="2"/>
        <v>4.3442999999999996</v>
      </c>
    </row>
    <row r="7" spans="1:16" ht="15" customHeight="1" x14ac:dyDescent="0.5">
      <c r="A7" s="18" t="s">
        <v>110</v>
      </c>
      <c r="B7" s="18" t="s">
        <v>34</v>
      </c>
      <c r="C7" s="18">
        <v>60</v>
      </c>
      <c r="D7" s="18">
        <v>60</v>
      </c>
      <c r="E7" s="18">
        <v>55</v>
      </c>
      <c r="F7" s="18">
        <v>50</v>
      </c>
      <c r="G7" s="18">
        <v>100000</v>
      </c>
      <c r="H7" s="19">
        <f>AVERAGE(H4:H6)</f>
        <v>50147.333333333336</v>
      </c>
      <c r="I7" s="19">
        <f t="shared" si="3"/>
        <v>49852.666666666664</v>
      </c>
      <c r="J7" s="19">
        <f>AVERAGE(J4:J6)</f>
        <v>434431.33333333331</v>
      </c>
      <c r="K7" s="19">
        <f>AVERAGE(K4:K6)</f>
        <v>433994.66666666669</v>
      </c>
      <c r="L7" s="20">
        <f>H7/G7</f>
        <v>0.50147333333333333</v>
      </c>
      <c r="M7" s="21">
        <f>J7/G7</f>
        <v>4.344313333333333</v>
      </c>
      <c r="N7" s="21">
        <f>K7/G7</f>
        <v>4.3399466666666671</v>
      </c>
      <c r="O7" s="21" t="s">
        <v>50</v>
      </c>
      <c r="P7" s="22" t="s">
        <v>50</v>
      </c>
    </row>
    <row r="8" spans="1:16" x14ac:dyDescent="0.5">
      <c r="A8" t="s">
        <v>110</v>
      </c>
      <c r="B8" t="str">
        <f t="shared" ref="B8:B71" si="4">_xlfn.CONCAT("RNG",C8,"xERR",D8,"xARM",E8,"xTDP",F8)</f>
        <v>RNG40xERR60xARM55xTDP50</v>
      </c>
      <c r="C8">
        <v>40</v>
      </c>
      <c r="D8">
        <v>60</v>
      </c>
      <c r="E8">
        <v>55</v>
      </c>
      <c r="F8">
        <v>50</v>
      </c>
      <c r="G8">
        <v>100000</v>
      </c>
      <c r="H8" s="3">
        <v>49543</v>
      </c>
      <c r="I8" s="3">
        <f t="shared" si="3"/>
        <v>50457</v>
      </c>
      <c r="J8" s="3">
        <v>434865</v>
      </c>
      <c r="K8" s="3">
        <v>440217</v>
      </c>
      <c r="L8" s="9">
        <f t="shared" ref="L8:L71" si="5">H8/G8</f>
        <v>0.49542999999999998</v>
      </c>
      <c r="M8" s="5">
        <f t="shared" ref="M8:M23" si="6">J8/G8</f>
        <v>4.3486500000000001</v>
      </c>
      <c r="N8" s="5">
        <f t="shared" ref="N8:N9" si="7">K8/G8</f>
        <v>4.4021699999999999</v>
      </c>
      <c r="O8" s="5">
        <f>(L8-$L$7)*162</f>
        <v>-0.97902000000000189</v>
      </c>
      <c r="P8" s="4">
        <f>-(N8-$N$7)*162</f>
        <v>-10.080179999999922</v>
      </c>
    </row>
    <row r="9" spans="1:16" x14ac:dyDescent="0.5">
      <c r="A9" t="s">
        <v>110</v>
      </c>
      <c r="B9" t="str">
        <f t="shared" si="4"/>
        <v>RNG45xERR60xARM55xTDP50</v>
      </c>
      <c r="C9">
        <v>45</v>
      </c>
      <c r="D9">
        <v>60</v>
      </c>
      <c r="E9">
        <v>55</v>
      </c>
      <c r="F9">
        <v>50</v>
      </c>
      <c r="G9">
        <v>100000</v>
      </c>
      <c r="H9" s="3">
        <v>49497</v>
      </c>
      <c r="I9" s="3">
        <f t="shared" si="3"/>
        <v>50503</v>
      </c>
      <c r="J9" s="3">
        <v>434811</v>
      </c>
      <c r="K9" s="3">
        <v>438342</v>
      </c>
      <c r="L9" s="9">
        <f t="shared" si="5"/>
        <v>0.49497000000000002</v>
      </c>
      <c r="M9" s="5">
        <f t="shared" si="6"/>
        <v>4.3481100000000001</v>
      </c>
      <c r="N9" s="5">
        <f t="shared" si="7"/>
        <v>4.3834200000000001</v>
      </c>
      <c r="O9" s="5">
        <f t="shared" ref="O9:O11" si="8">(L9-$L$7)*162</f>
        <v>-1.0535399999999955</v>
      </c>
      <c r="P9" s="4">
        <f t="shared" ref="P9:P11" si="9">-(N9-$N$7)*162</f>
        <v>-7.042679999999951</v>
      </c>
    </row>
    <row r="10" spans="1:16" x14ac:dyDescent="0.5">
      <c r="A10" t="s">
        <v>110</v>
      </c>
      <c r="B10" t="str">
        <f t="shared" si="4"/>
        <v>RNG50xERR60xARM55xTDP50</v>
      </c>
      <c r="C10">
        <v>50</v>
      </c>
      <c r="D10">
        <v>60</v>
      </c>
      <c r="E10">
        <v>55</v>
      </c>
      <c r="F10">
        <v>50</v>
      </c>
      <c r="G10">
        <v>100000</v>
      </c>
      <c r="H10" s="3">
        <v>49215</v>
      </c>
      <c r="I10" s="3">
        <f t="shared" si="3"/>
        <v>50785</v>
      </c>
      <c r="J10" s="3">
        <v>433536</v>
      </c>
      <c r="K10" s="3">
        <v>440885</v>
      </c>
      <c r="L10" s="9">
        <f t="shared" si="5"/>
        <v>0.49214999999999998</v>
      </c>
      <c r="M10" s="5">
        <f t="shared" si="6"/>
        <v>4.3353599999999997</v>
      </c>
      <c r="N10" s="5">
        <f>K10/G10</f>
        <v>4.4088500000000002</v>
      </c>
      <c r="O10" s="5">
        <f t="shared" si="8"/>
        <v>-1.5103800000000027</v>
      </c>
      <c r="P10" s="4">
        <f t="shared" si="9"/>
        <v>-11.162339999999961</v>
      </c>
    </row>
    <row r="11" spans="1:16" x14ac:dyDescent="0.5">
      <c r="A11" t="s">
        <v>110</v>
      </c>
      <c r="B11" t="str">
        <f t="shared" si="4"/>
        <v>RNG55xERR60xARM55xTDP50</v>
      </c>
      <c r="C11">
        <v>55</v>
      </c>
      <c r="D11">
        <v>60</v>
      </c>
      <c r="E11">
        <v>55</v>
      </c>
      <c r="F11">
        <v>50</v>
      </c>
      <c r="G11">
        <v>100000</v>
      </c>
      <c r="H11" s="3">
        <v>49146</v>
      </c>
      <c r="I11" s="3">
        <f t="shared" si="3"/>
        <v>50854</v>
      </c>
      <c r="J11" s="3">
        <v>435444</v>
      </c>
      <c r="K11" s="3">
        <v>442064</v>
      </c>
      <c r="L11" s="9">
        <f t="shared" si="5"/>
        <v>0.49146000000000001</v>
      </c>
      <c r="M11" s="5">
        <f t="shared" si="6"/>
        <v>4.3544400000000003</v>
      </c>
      <c r="N11" s="5">
        <f>K11/G11</f>
        <v>4.4206399999999997</v>
      </c>
      <c r="O11" s="5">
        <f t="shared" si="8"/>
        <v>-1.6221599999999976</v>
      </c>
      <c r="P11" s="4">
        <f t="shared" si="9"/>
        <v>-13.072319999999884</v>
      </c>
    </row>
    <row r="12" spans="1:16" x14ac:dyDescent="0.5">
      <c r="A12" t="s">
        <v>110</v>
      </c>
      <c r="B12" t="str">
        <f t="shared" si="4"/>
        <v>RNG65xERR60xARM55xTDP50</v>
      </c>
      <c r="C12">
        <v>65</v>
      </c>
      <c r="D12">
        <v>60</v>
      </c>
      <c r="E12">
        <v>55</v>
      </c>
      <c r="F12">
        <v>50</v>
      </c>
      <c r="G12">
        <v>100000</v>
      </c>
      <c r="H12" s="3">
        <v>51849</v>
      </c>
      <c r="I12" s="3">
        <f t="shared" si="3"/>
        <v>48151</v>
      </c>
      <c r="J12" s="3">
        <v>434109</v>
      </c>
      <c r="K12" s="3">
        <v>416465</v>
      </c>
      <c r="L12" s="9">
        <f t="shared" si="5"/>
        <v>0.51849000000000001</v>
      </c>
      <c r="M12" s="5">
        <f t="shared" si="6"/>
        <v>4.3410900000000003</v>
      </c>
      <c r="N12" s="5">
        <f>K12/G12</f>
        <v>4.16465</v>
      </c>
      <c r="O12" s="5">
        <f>(L12-$L$7)*162</f>
        <v>2.7567000000000021</v>
      </c>
      <c r="P12" s="4">
        <f>-(N12-$N$7)*162</f>
        <v>28.398060000000072</v>
      </c>
    </row>
    <row r="13" spans="1:16" x14ac:dyDescent="0.5">
      <c r="A13" t="s">
        <v>110</v>
      </c>
      <c r="B13" t="str">
        <f t="shared" si="4"/>
        <v>RNG70xERR60xARM55xTDP50</v>
      </c>
      <c r="C13">
        <v>70</v>
      </c>
      <c r="D13">
        <v>60</v>
      </c>
      <c r="E13">
        <v>55</v>
      </c>
      <c r="F13">
        <v>50</v>
      </c>
      <c r="G13">
        <v>100000</v>
      </c>
      <c r="H13" s="3">
        <v>51991</v>
      </c>
      <c r="I13" s="3">
        <f t="shared" si="3"/>
        <v>48009</v>
      </c>
      <c r="J13" s="3">
        <v>433680</v>
      </c>
      <c r="K13" s="3">
        <v>413888</v>
      </c>
      <c r="L13" s="9">
        <f t="shared" si="5"/>
        <v>0.51990999999999998</v>
      </c>
      <c r="M13" s="5">
        <f t="shared" si="6"/>
        <v>4.3368000000000002</v>
      </c>
      <c r="N13" s="5">
        <f>K13/G13</f>
        <v>4.1388800000000003</v>
      </c>
      <c r="O13" s="5">
        <f t="shared" ref="O13:O71" si="10">(L13-$L$7)*162</f>
        <v>2.9867399999999984</v>
      </c>
      <c r="P13" s="4">
        <f t="shared" ref="P13:P71" si="11">-(N13-$N$7)*162</f>
        <v>32.572800000000008</v>
      </c>
    </row>
    <row r="14" spans="1:16" x14ac:dyDescent="0.5">
      <c r="A14" t="s">
        <v>110</v>
      </c>
      <c r="B14" t="str">
        <f t="shared" si="4"/>
        <v>RNG75xERR60xARM55xTDP50</v>
      </c>
      <c r="C14">
        <v>75</v>
      </c>
      <c r="D14">
        <v>60</v>
      </c>
      <c r="E14">
        <v>55</v>
      </c>
      <c r="F14">
        <v>50</v>
      </c>
      <c r="G14">
        <v>100000</v>
      </c>
      <c r="H14" s="3">
        <v>51814</v>
      </c>
      <c r="I14" s="3">
        <f t="shared" si="3"/>
        <v>48186</v>
      </c>
      <c r="J14" s="3">
        <v>431343</v>
      </c>
      <c r="K14" s="3">
        <v>413087</v>
      </c>
      <c r="L14" s="9">
        <f t="shared" si="5"/>
        <v>0.51814000000000004</v>
      </c>
      <c r="M14" s="5">
        <f t="shared" si="6"/>
        <v>4.3134300000000003</v>
      </c>
      <c r="N14" s="5">
        <f>K14/G14</f>
        <v>4.1308699999999998</v>
      </c>
      <c r="O14" s="5">
        <f t="shared" si="10"/>
        <v>2.7000000000000082</v>
      </c>
      <c r="P14" s="4">
        <f t="shared" si="11"/>
        <v>33.870420000000095</v>
      </c>
    </row>
    <row r="15" spans="1:16" x14ac:dyDescent="0.5">
      <c r="A15" t="s">
        <v>110</v>
      </c>
      <c r="B15" t="str">
        <f t="shared" si="4"/>
        <v>RNG60xERR50xARM55xTDP50</v>
      </c>
      <c r="C15">
        <v>60</v>
      </c>
      <c r="D15">
        <v>50</v>
      </c>
      <c r="E15">
        <v>55</v>
      </c>
      <c r="F15">
        <v>50</v>
      </c>
      <c r="G15">
        <v>100000</v>
      </c>
      <c r="H15" s="3">
        <v>49866</v>
      </c>
      <c r="I15" s="3">
        <f t="shared" si="3"/>
        <v>50134</v>
      </c>
      <c r="J15" s="3">
        <v>434246</v>
      </c>
      <c r="K15" s="3">
        <v>436547</v>
      </c>
      <c r="L15" s="9">
        <f t="shared" si="5"/>
        <v>0.49865999999999999</v>
      </c>
      <c r="M15" s="5">
        <f t="shared" si="6"/>
        <v>4.34246</v>
      </c>
      <c r="N15" s="5">
        <f t="shared" ref="N15:N71" si="12">K15/G15</f>
        <v>4.3654700000000002</v>
      </c>
      <c r="O15" s="5">
        <f t="shared" si="10"/>
        <v>-0.45576000000000016</v>
      </c>
      <c r="P15" s="4">
        <f t="shared" si="11"/>
        <v>-4.1347799999999655</v>
      </c>
    </row>
    <row r="16" spans="1:16" x14ac:dyDescent="0.5">
      <c r="A16" t="s">
        <v>110</v>
      </c>
      <c r="B16" t="str">
        <f t="shared" si="4"/>
        <v>RNG60xERR55xARM55xTDP50</v>
      </c>
      <c r="C16">
        <v>60</v>
      </c>
      <c r="D16">
        <v>55</v>
      </c>
      <c r="E16">
        <v>55</v>
      </c>
      <c r="F16">
        <v>50</v>
      </c>
      <c r="G16">
        <v>100000</v>
      </c>
      <c r="H16" s="3">
        <v>49855</v>
      </c>
      <c r="I16" s="3">
        <f t="shared" si="3"/>
        <v>50145</v>
      </c>
      <c r="J16" s="3">
        <v>435110</v>
      </c>
      <c r="K16" s="3">
        <v>436472</v>
      </c>
      <c r="L16" s="9">
        <f t="shared" si="5"/>
        <v>0.49854999999999999</v>
      </c>
      <c r="M16" s="5">
        <f t="shared" si="6"/>
        <v>4.3510999999999997</v>
      </c>
      <c r="N16" s="5">
        <f t="shared" si="12"/>
        <v>4.3647200000000002</v>
      </c>
      <c r="O16" s="5">
        <f t="shared" si="10"/>
        <v>-0.47358</v>
      </c>
      <c r="P16" s="4">
        <f t="shared" si="11"/>
        <v>-4.0132799999999609</v>
      </c>
    </row>
    <row r="17" spans="1:16" x14ac:dyDescent="0.5">
      <c r="A17" t="s">
        <v>110</v>
      </c>
      <c r="B17" t="str">
        <f t="shared" si="4"/>
        <v>RNG60xERR65xARM55xTDP50</v>
      </c>
      <c r="C17">
        <v>60</v>
      </c>
      <c r="D17">
        <v>65</v>
      </c>
      <c r="E17">
        <v>55</v>
      </c>
      <c r="F17">
        <v>50</v>
      </c>
      <c r="G17">
        <v>100000</v>
      </c>
      <c r="H17" s="3">
        <v>49965</v>
      </c>
      <c r="I17" s="3">
        <f t="shared" si="3"/>
        <v>50035</v>
      </c>
      <c r="J17" s="3">
        <v>435041</v>
      </c>
      <c r="K17" s="3">
        <v>434114</v>
      </c>
      <c r="L17" s="9">
        <f t="shared" si="5"/>
        <v>0.49964999999999998</v>
      </c>
      <c r="M17" s="5">
        <f t="shared" si="6"/>
        <v>4.3504100000000001</v>
      </c>
      <c r="N17" s="5">
        <f t="shared" si="12"/>
        <v>4.3411400000000002</v>
      </c>
      <c r="O17" s="5">
        <f t="shared" si="10"/>
        <v>-0.29538000000000164</v>
      </c>
      <c r="P17" s="4">
        <f t="shared" si="11"/>
        <v>-0.19331999999997151</v>
      </c>
    </row>
    <row r="18" spans="1:16" x14ac:dyDescent="0.5">
      <c r="A18" t="s">
        <v>110</v>
      </c>
      <c r="B18" t="str">
        <f t="shared" si="4"/>
        <v>RNG60xERR70xARM55xTDP50</v>
      </c>
      <c r="C18">
        <v>60</v>
      </c>
      <c r="D18">
        <v>70</v>
      </c>
      <c r="E18">
        <v>55</v>
      </c>
      <c r="F18">
        <v>50</v>
      </c>
      <c r="G18">
        <v>100000</v>
      </c>
      <c r="H18" s="3">
        <v>50584</v>
      </c>
      <c r="I18" s="3">
        <f t="shared" si="3"/>
        <v>49416</v>
      </c>
      <c r="J18" s="3">
        <v>435999</v>
      </c>
      <c r="K18" s="3">
        <v>431954</v>
      </c>
      <c r="L18" s="9">
        <f t="shared" si="5"/>
        <v>0.50583999999999996</v>
      </c>
      <c r="M18" s="5">
        <f t="shared" si="6"/>
        <v>4.3599899999999998</v>
      </c>
      <c r="N18" s="5">
        <f t="shared" si="12"/>
        <v>4.3195399999999999</v>
      </c>
      <c r="O18" s="5">
        <f t="shared" si="10"/>
        <v>0.70739999999999403</v>
      </c>
      <c r="P18" s="4">
        <f t="shared" si="11"/>
        <v>3.3058800000000748</v>
      </c>
    </row>
    <row r="19" spans="1:16" x14ac:dyDescent="0.5">
      <c r="A19" t="s">
        <v>110</v>
      </c>
      <c r="B19" t="str">
        <f t="shared" si="4"/>
        <v>RNG60xERR75xARM55xTDP50</v>
      </c>
      <c r="C19">
        <v>60</v>
      </c>
      <c r="D19">
        <v>75</v>
      </c>
      <c r="E19">
        <v>55</v>
      </c>
      <c r="F19">
        <v>50</v>
      </c>
      <c r="G19">
        <v>100000</v>
      </c>
      <c r="H19" s="3">
        <v>50331</v>
      </c>
      <c r="I19" s="3">
        <f t="shared" si="3"/>
        <v>49669</v>
      </c>
      <c r="J19" s="3">
        <v>436126</v>
      </c>
      <c r="K19" s="3">
        <v>432745</v>
      </c>
      <c r="L19" s="9">
        <f t="shared" si="5"/>
        <v>0.50331000000000004</v>
      </c>
      <c r="M19" s="5">
        <f t="shared" si="6"/>
        <v>4.3612599999999997</v>
      </c>
      <c r="N19" s="5">
        <f t="shared" si="12"/>
        <v>4.3274499999999998</v>
      </c>
      <c r="O19" s="5">
        <f t="shared" si="10"/>
        <v>0.2975400000000068</v>
      </c>
      <c r="P19" s="4">
        <f t="shared" si="11"/>
        <v>2.0244600000000972</v>
      </c>
    </row>
    <row r="20" spans="1:16" x14ac:dyDescent="0.5">
      <c r="A20" t="s">
        <v>110</v>
      </c>
      <c r="B20" t="str">
        <f t="shared" si="4"/>
        <v>RNG60xERR60xARM50xTDP50</v>
      </c>
      <c r="C20">
        <v>60</v>
      </c>
      <c r="D20">
        <v>60</v>
      </c>
      <c r="E20">
        <v>50</v>
      </c>
      <c r="F20">
        <v>50</v>
      </c>
      <c r="G20">
        <v>100000</v>
      </c>
      <c r="H20" s="3">
        <v>49540</v>
      </c>
      <c r="I20" s="3">
        <f t="shared" si="3"/>
        <v>50460</v>
      </c>
      <c r="J20" s="3">
        <v>434954</v>
      </c>
      <c r="K20" s="3">
        <v>440226</v>
      </c>
      <c r="L20" s="9">
        <f t="shared" si="5"/>
        <v>0.49540000000000001</v>
      </c>
      <c r="M20" s="5">
        <f t="shared" si="6"/>
        <v>4.3495400000000002</v>
      </c>
      <c r="N20" s="5">
        <f t="shared" si="12"/>
        <v>4.4022600000000001</v>
      </c>
      <c r="O20" s="5">
        <f t="shared" si="10"/>
        <v>-0.98387999999999776</v>
      </c>
      <c r="P20" s="4">
        <f t="shared" si="11"/>
        <v>-10.094759999999946</v>
      </c>
    </row>
    <row r="21" spans="1:16" x14ac:dyDescent="0.5">
      <c r="A21" t="s">
        <v>110</v>
      </c>
      <c r="B21" t="str">
        <f t="shared" si="4"/>
        <v>RNG60xERR60xARM60xTDP50</v>
      </c>
      <c r="C21">
        <v>60</v>
      </c>
      <c r="D21">
        <v>60</v>
      </c>
      <c r="E21">
        <v>60</v>
      </c>
      <c r="F21">
        <v>50</v>
      </c>
      <c r="G21">
        <v>100000</v>
      </c>
      <c r="H21" s="3">
        <v>51070</v>
      </c>
      <c r="I21" s="3">
        <f t="shared" si="3"/>
        <v>48930</v>
      </c>
      <c r="J21" s="3">
        <v>434401</v>
      </c>
      <c r="K21" s="3">
        <v>424502</v>
      </c>
      <c r="L21" s="9">
        <f t="shared" si="5"/>
        <v>0.51070000000000004</v>
      </c>
      <c r="M21" s="5">
        <f t="shared" si="6"/>
        <v>4.3440099999999999</v>
      </c>
      <c r="N21" s="5">
        <f t="shared" si="12"/>
        <v>4.2450200000000002</v>
      </c>
      <c r="O21" s="5">
        <f t="shared" si="10"/>
        <v>1.494720000000008</v>
      </c>
      <c r="P21" s="4">
        <f t="shared" si="11"/>
        <v>15.378120000000026</v>
      </c>
    </row>
    <row r="22" spans="1:16" x14ac:dyDescent="0.5">
      <c r="A22" t="s">
        <v>110</v>
      </c>
      <c r="B22" t="str">
        <f t="shared" si="4"/>
        <v>RNG60xERR60xARM65xTDP50</v>
      </c>
      <c r="C22">
        <v>60</v>
      </c>
      <c r="D22">
        <v>60</v>
      </c>
      <c r="E22">
        <v>65</v>
      </c>
      <c r="F22">
        <v>50</v>
      </c>
      <c r="G22">
        <v>100000</v>
      </c>
      <c r="H22" s="3">
        <v>51738</v>
      </c>
      <c r="I22" s="3">
        <f t="shared" si="3"/>
        <v>48262</v>
      </c>
      <c r="J22" s="3">
        <v>432716</v>
      </c>
      <c r="K22" s="3">
        <v>416834</v>
      </c>
      <c r="L22" s="9">
        <f t="shared" si="5"/>
        <v>0.51737999999999995</v>
      </c>
      <c r="M22" s="5">
        <f t="shared" si="6"/>
        <v>4.3271600000000001</v>
      </c>
      <c r="N22" s="5">
        <f t="shared" si="12"/>
        <v>4.1683399999999997</v>
      </c>
      <c r="O22" s="5">
        <f t="shared" si="10"/>
        <v>2.576879999999993</v>
      </c>
      <c r="P22" s="4">
        <f t="shared" si="11"/>
        <v>27.800280000000111</v>
      </c>
    </row>
    <row r="23" spans="1:16" x14ac:dyDescent="0.5">
      <c r="A23" t="s">
        <v>110</v>
      </c>
      <c r="B23" t="str">
        <f t="shared" si="4"/>
        <v>RNG60xERR60xARM70xTDP50</v>
      </c>
      <c r="C23">
        <v>60</v>
      </c>
      <c r="D23">
        <v>60</v>
      </c>
      <c r="E23">
        <v>70</v>
      </c>
      <c r="F23">
        <v>50</v>
      </c>
      <c r="G23">
        <v>100000</v>
      </c>
      <c r="H23" s="3">
        <v>52023</v>
      </c>
      <c r="I23" s="3">
        <f t="shared" si="3"/>
        <v>47977</v>
      </c>
      <c r="J23" s="3">
        <v>434215</v>
      </c>
      <c r="K23" s="3">
        <v>416007</v>
      </c>
      <c r="L23" s="9">
        <f t="shared" si="5"/>
        <v>0.52022999999999997</v>
      </c>
      <c r="M23" s="5">
        <f t="shared" si="6"/>
        <v>4.3421500000000002</v>
      </c>
      <c r="N23" s="5">
        <f t="shared" si="12"/>
        <v>4.1600700000000002</v>
      </c>
      <c r="O23" s="5">
        <f t="shared" si="10"/>
        <v>3.0385799999999961</v>
      </c>
      <c r="P23" s="4">
        <f t="shared" si="11"/>
        <v>29.140020000000039</v>
      </c>
    </row>
    <row r="24" spans="1:16" x14ac:dyDescent="0.5">
      <c r="A24" t="s">
        <v>110</v>
      </c>
      <c r="B24" t="str">
        <f t="shared" si="4"/>
        <v>RNG60xERR60xARM75xTDP50</v>
      </c>
      <c r="C24">
        <v>60</v>
      </c>
      <c r="D24">
        <v>60</v>
      </c>
      <c r="E24">
        <v>75</v>
      </c>
      <c r="F24">
        <v>50</v>
      </c>
      <c r="G24">
        <v>100000</v>
      </c>
      <c r="H24" s="3">
        <v>52028</v>
      </c>
      <c r="I24" s="3">
        <f t="shared" si="3"/>
        <v>47972</v>
      </c>
      <c r="J24" s="3">
        <v>434563</v>
      </c>
      <c r="K24" s="3">
        <v>414357</v>
      </c>
      <c r="L24" s="9">
        <f t="shared" si="5"/>
        <v>0.52027999999999996</v>
      </c>
      <c r="M24" s="5">
        <f>J24/G24</f>
        <v>4.3456299999999999</v>
      </c>
      <c r="N24" s="5">
        <f t="shared" si="12"/>
        <v>4.1435700000000004</v>
      </c>
      <c r="O24" s="5">
        <f t="shared" si="10"/>
        <v>3.0466799999999954</v>
      </c>
      <c r="P24" s="4">
        <f t="shared" si="11"/>
        <v>31.813019999999995</v>
      </c>
    </row>
    <row r="25" spans="1:16" x14ac:dyDescent="0.5">
      <c r="A25" t="s">
        <v>110</v>
      </c>
      <c r="B25" t="str">
        <f t="shared" si="4"/>
        <v>RNG60xERR60xARM55xTDP45</v>
      </c>
      <c r="C25">
        <v>60</v>
      </c>
      <c r="D25">
        <v>60</v>
      </c>
      <c r="E25">
        <v>55</v>
      </c>
      <c r="F25">
        <v>45</v>
      </c>
      <c r="G25">
        <v>100000</v>
      </c>
      <c r="H25" s="3">
        <v>49737</v>
      </c>
      <c r="I25" s="3">
        <f t="shared" si="3"/>
        <v>50263</v>
      </c>
      <c r="J25" s="3">
        <v>432591</v>
      </c>
      <c r="K25" s="3">
        <v>436529</v>
      </c>
      <c r="L25" s="9">
        <f t="shared" si="5"/>
        <v>0.49736999999999998</v>
      </c>
      <c r="M25" s="5">
        <f t="shared" ref="M25:M71" si="13">J25/G25</f>
        <v>4.3259100000000004</v>
      </c>
      <c r="N25" s="5">
        <f t="shared" si="12"/>
        <v>4.3652899999999999</v>
      </c>
      <c r="O25" s="5">
        <f t="shared" si="10"/>
        <v>-0.66474000000000233</v>
      </c>
      <c r="P25" s="4">
        <f t="shared" si="11"/>
        <v>-4.1056199999999183</v>
      </c>
    </row>
    <row r="26" spans="1:16" x14ac:dyDescent="0.5">
      <c r="A26" t="s">
        <v>110</v>
      </c>
      <c r="B26" t="str">
        <f t="shared" si="4"/>
        <v>RNG60xERR60xARM55xTDP55</v>
      </c>
      <c r="C26">
        <v>60</v>
      </c>
      <c r="D26">
        <v>60</v>
      </c>
      <c r="E26">
        <v>55</v>
      </c>
      <c r="F26">
        <v>55</v>
      </c>
      <c r="G26">
        <v>100000</v>
      </c>
      <c r="H26" s="3">
        <v>49866</v>
      </c>
      <c r="I26" s="3">
        <f t="shared" si="3"/>
        <v>50134</v>
      </c>
      <c r="J26" s="3">
        <v>433556</v>
      </c>
      <c r="K26" s="3">
        <v>434460</v>
      </c>
      <c r="L26" s="9">
        <f t="shared" si="5"/>
        <v>0.49865999999999999</v>
      </c>
      <c r="M26" s="5">
        <f t="shared" si="13"/>
        <v>4.3355600000000001</v>
      </c>
      <c r="N26" s="5">
        <f t="shared" si="12"/>
        <v>4.3445999999999998</v>
      </c>
      <c r="O26" s="5">
        <f t="shared" si="10"/>
        <v>-0.45576000000000016</v>
      </c>
      <c r="P26" s="4">
        <f t="shared" si="11"/>
        <v>-0.75383999999990259</v>
      </c>
    </row>
    <row r="27" spans="1:16" x14ac:dyDescent="0.5">
      <c r="A27" t="s">
        <v>110</v>
      </c>
      <c r="B27" t="str">
        <f t="shared" si="4"/>
        <v>RNG60xERR60xARM55xTDP60</v>
      </c>
      <c r="C27">
        <v>60</v>
      </c>
      <c r="D27">
        <v>60</v>
      </c>
      <c r="E27">
        <v>55</v>
      </c>
      <c r="F27">
        <v>60</v>
      </c>
      <c r="G27">
        <v>100000</v>
      </c>
      <c r="H27" s="3">
        <v>50181</v>
      </c>
      <c r="I27" s="3">
        <f t="shared" si="3"/>
        <v>49819</v>
      </c>
      <c r="J27" s="3">
        <v>433240</v>
      </c>
      <c r="K27" s="3">
        <v>433025</v>
      </c>
      <c r="L27" s="9">
        <f t="shared" si="5"/>
        <v>0.50180999999999998</v>
      </c>
      <c r="M27" s="5">
        <f t="shared" si="13"/>
        <v>4.3323999999999998</v>
      </c>
      <c r="N27" s="5">
        <f t="shared" si="12"/>
        <v>4.3302500000000004</v>
      </c>
      <c r="O27" s="5">
        <f t="shared" si="10"/>
        <v>5.453999999999759E-2</v>
      </c>
      <c r="P27" s="4">
        <f t="shared" si="11"/>
        <v>1.5708600000000033</v>
      </c>
    </row>
    <row r="28" spans="1:16" x14ac:dyDescent="0.5">
      <c r="A28" t="s">
        <v>110</v>
      </c>
      <c r="B28" t="str">
        <f t="shared" si="4"/>
        <v>RNG60xERR60xARM55xTDP65</v>
      </c>
      <c r="C28">
        <v>60</v>
      </c>
      <c r="D28">
        <v>60</v>
      </c>
      <c r="E28">
        <v>55</v>
      </c>
      <c r="F28">
        <v>65</v>
      </c>
      <c r="G28">
        <v>100000</v>
      </c>
      <c r="H28" s="3">
        <v>50209</v>
      </c>
      <c r="I28" s="3">
        <f t="shared" si="3"/>
        <v>49791</v>
      </c>
      <c r="J28" s="3">
        <v>435160</v>
      </c>
      <c r="K28" s="3">
        <v>432998</v>
      </c>
      <c r="L28" s="9">
        <f t="shared" si="5"/>
        <v>0.50209000000000004</v>
      </c>
      <c r="M28" s="5">
        <f t="shared" si="13"/>
        <v>4.3516000000000004</v>
      </c>
      <c r="N28" s="5">
        <f t="shared" si="12"/>
        <v>4.3299799999999999</v>
      </c>
      <c r="O28" s="5">
        <f t="shared" si="10"/>
        <v>9.9900000000006983E-2</v>
      </c>
      <c r="P28" s="4">
        <f t="shared" si="11"/>
        <v>1.614600000000074</v>
      </c>
    </row>
    <row r="29" spans="1:16" x14ac:dyDescent="0.5">
      <c r="A29" t="s">
        <v>110</v>
      </c>
      <c r="B29" t="str">
        <f t="shared" si="4"/>
        <v>RNG60xERR60xARM55xTDP70</v>
      </c>
      <c r="C29">
        <v>60</v>
      </c>
      <c r="D29">
        <v>60</v>
      </c>
      <c r="E29">
        <v>55</v>
      </c>
      <c r="F29">
        <v>70</v>
      </c>
      <c r="G29">
        <v>100000</v>
      </c>
      <c r="H29" s="3">
        <v>50339</v>
      </c>
      <c r="I29" s="3">
        <f t="shared" si="3"/>
        <v>49661</v>
      </c>
      <c r="J29" s="3">
        <v>434837</v>
      </c>
      <c r="K29" s="3">
        <v>433742</v>
      </c>
      <c r="L29" s="9">
        <f t="shared" si="5"/>
        <v>0.50339</v>
      </c>
      <c r="M29" s="5">
        <f t="shared" si="13"/>
        <v>4.3483700000000001</v>
      </c>
      <c r="N29" s="5">
        <f t="shared" si="12"/>
        <v>4.3374199999999998</v>
      </c>
      <c r="O29" s="5">
        <f t="shared" si="10"/>
        <v>0.31050000000000177</v>
      </c>
      <c r="P29" s="4">
        <f t="shared" si="11"/>
        <v>0.40932000000009161</v>
      </c>
    </row>
    <row r="30" spans="1:16" x14ac:dyDescent="0.5">
      <c r="A30" t="s">
        <v>110</v>
      </c>
      <c r="B30" t="str">
        <f t="shared" si="4"/>
        <v>RNG60xERR60xARM55xTDP75</v>
      </c>
      <c r="C30">
        <v>60</v>
      </c>
      <c r="D30">
        <v>60</v>
      </c>
      <c r="E30">
        <v>55</v>
      </c>
      <c r="F30">
        <v>75</v>
      </c>
      <c r="G30">
        <v>100000</v>
      </c>
      <c r="H30" s="3">
        <v>50171</v>
      </c>
      <c r="I30" s="3">
        <f t="shared" si="3"/>
        <v>49829</v>
      </c>
      <c r="J30" s="3">
        <v>435053</v>
      </c>
      <c r="K30" s="3">
        <v>433483</v>
      </c>
      <c r="L30" s="9">
        <f t="shared" si="5"/>
        <v>0.50170999999999999</v>
      </c>
      <c r="M30" s="5">
        <f t="shared" si="13"/>
        <v>4.35053</v>
      </c>
      <c r="N30" s="5">
        <f t="shared" si="12"/>
        <v>4.3348300000000002</v>
      </c>
      <c r="O30" s="5">
        <f t="shared" si="10"/>
        <v>3.8339999999999375E-2</v>
      </c>
      <c r="P30" s="4">
        <f t="shared" si="11"/>
        <v>0.82890000000003461</v>
      </c>
    </row>
    <row r="31" spans="1:16" x14ac:dyDescent="0.5">
      <c r="A31" t="s">
        <v>110</v>
      </c>
      <c r="B31" t="str">
        <f t="shared" si="4"/>
        <v>RNG70xERR70xARM70xTDP70</v>
      </c>
      <c r="C31">
        <v>70</v>
      </c>
      <c r="D31">
        <v>70</v>
      </c>
      <c r="E31">
        <v>70</v>
      </c>
      <c r="F31">
        <v>70</v>
      </c>
      <c r="G31">
        <v>100000</v>
      </c>
      <c r="H31" s="3">
        <v>52719</v>
      </c>
      <c r="I31" s="3">
        <f t="shared" si="3"/>
        <v>47281</v>
      </c>
      <c r="J31" s="3">
        <v>435414</v>
      </c>
      <c r="K31" s="3">
        <v>408576</v>
      </c>
      <c r="L31" s="9">
        <f t="shared" si="5"/>
        <v>0.52719000000000005</v>
      </c>
      <c r="M31" s="5">
        <f t="shared" si="13"/>
        <v>4.3541400000000001</v>
      </c>
      <c r="N31" s="5">
        <f t="shared" si="12"/>
        <v>4.0857599999999996</v>
      </c>
      <c r="O31" s="5">
        <f t="shared" si="10"/>
        <v>4.166100000000009</v>
      </c>
      <c r="P31" s="4">
        <f t="shared" si="11"/>
        <v>41.17824000000013</v>
      </c>
    </row>
    <row r="32" spans="1:16" x14ac:dyDescent="0.5">
      <c r="A32" t="s">
        <v>110</v>
      </c>
      <c r="B32" t="str">
        <f t="shared" si="4"/>
        <v>RNG70xERR70xARM55xTDP50</v>
      </c>
      <c r="C32">
        <v>70</v>
      </c>
      <c r="D32">
        <v>70</v>
      </c>
      <c r="E32">
        <v>55</v>
      </c>
      <c r="F32">
        <v>50</v>
      </c>
      <c r="G32">
        <v>100000</v>
      </c>
      <c r="H32" s="3">
        <v>52241</v>
      </c>
      <c r="I32" s="3">
        <f t="shared" si="3"/>
        <v>47759</v>
      </c>
      <c r="J32" s="3">
        <v>434638</v>
      </c>
      <c r="K32" s="3">
        <v>412461</v>
      </c>
      <c r="L32" s="9">
        <f t="shared" si="5"/>
        <v>0.52241000000000004</v>
      </c>
      <c r="M32" s="5">
        <f t="shared" si="13"/>
        <v>4.3463799999999999</v>
      </c>
      <c r="N32" s="5">
        <f t="shared" si="12"/>
        <v>4.1246099999999997</v>
      </c>
      <c r="O32" s="5">
        <f t="shared" si="10"/>
        <v>3.3917400000000075</v>
      </c>
      <c r="P32" s="4">
        <f t="shared" si="11"/>
        <v>34.884540000000115</v>
      </c>
    </row>
    <row r="33" spans="1:16" x14ac:dyDescent="0.5">
      <c r="A33" t="s">
        <v>110</v>
      </c>
      <c r="B33" t="str">
        <f t="shared" si="4"/>
        <v>RNG70xERR60xARM70xTDP50</v>
      </c>
      <c r="C33">
        <v>70</v>
      </c>
      <c r="D33">
        <v>60</v>
      </c>
      <c r="E33">
        <v>70</v>
      </c>
      <c r="F33">
        <v>50</v>
      </c>
      <c r="G33">
        <v>100000</v>
      </c>
      <c r="H33" s="3">
        <v>52055</v>
      </c>
      <c r="I33" s="3">
        <f t="shared" si="3"/>
        <v>47945</v>
      </c>
      <c r="J33" s="3">
        <v>433923</v>
      </c>
      <c r="K33" s="3">
        <v>414390</v>
      </c>
      <c r="L33" s="9">
        <f t="shared" si="5"/>
        <v>0.52054999999999996</v>
      </c>
      <c r="M33" s="5">
        <f t="shared" si="13"/>
        <v>4.3392299999999997</v>
      </c>
      <c r="N33" s="5">
        <f t="shared" si="12"/>
        <v>4.1439000000000004</v>
      </c>
      <c r="O33" s="5">
        <f t="shared" si="10"/>
        <v>3.0904199999999942</v>
      </c>
      <c r="P33" s="4">
        <f t="shared" si="11"/>
        <v>31.759560000000008</v>
      </c>
    </row>
    <row r="34" spans="1:16" x14ac:dyDescent="0.5">
      <c r="A34" t="s">
        <v>110</v>
      </c>
      <c r="B34" t="str">
        <f t="shared" si="4"/>
        <v>RNG70xERR60xARM55xTDP70</v>
      </c>
      <c r="C34">
        <v>70</v>
      </c>
      <c r="D34">
        <v>60</v>
      </c>
      <c r="E34">
        <v>55</v>
      </c>
      <c r="F34">
        <v>70</v>
      </c>
      <c r="G34">
        <v>100000</v>
      </c>
      <c r="H34" s="3">
        <v>52039</v>
      </c>
      <c r="I34" s="3">
        <f t="shared" si="3"/>
        <v>47961</v>
      </c>
      <c r="J34" s="3">
        <v>432802</v>
      </c>
      <c r="K34" s="3">
        <v>413505</v>
      </c>
      <c r="L34" s="9">
        <f t="shared" si="5"/>
        <v>0.52039000000000002</v>
      </c>
      <c r="M34" s="5">
        <f t="shared" si="13"/>
        <v>4.3280200000000004</v>
      </c>
      <c r="N34" s="5">
        <f t="shared" si="12"/>
        <v>4.1350499999999997</v>
      </c>
      <c r="O34" s="5">
        <f t="shared" si="10"/>
        <v>3.0645000000000042</v>
      </c>
      <c r="P34" s="4">
        <f t="shared" si="11"/>
        <v>33.193260000000116</v>
      </c>
    </row>
    <row r="35" spans="1:16" x14ac:dyDescent="0.5">
      <c r="A35" t="s">
        <v>110</v>
      </c>
      <c r="B35" t="str">
        <f t="shared" si="4"/>
        <v>RNG60xERR70xARM70xTDP50</v>
      </c>
      <c r="C35">
        <v>60</v>
      </c>
      <c r="D35">
        <v>70</v>
      </c>
      <c r="E35">
        <v>70</v>
      </c>
      <c r="F35">
        <v>50</v>
      </c>
      <c r="G35">
        <v>100000</v>
      </c>
      <c r="H35" s="3">
        <v>52550</v>
      </c>
      <c r="I35" s="3">
        <f t="shared" si="3"/>
        <v>47450</v>
      </c>
      <c r="J35" s="3">
        <v>435180</v>
      </c>
      <c r="K35" s="3">
        <v>412016</v>
      </c>
      <c r="L35" s="9">
        <f t="shared" si="5"/>
        <v>0.52549999999999997</v>
      </c>
      <c r="M35" s="5">
        <f t="shared" si="13"/>
        <v>4.3517999999999999</v>
      </c>
      <c r="N35" s="5">
        <f t="shared" si="12"/>
        <v>4.1201600000000003</v>
      </c>
      <c r="O35" s="5">
        <f t="shared" si="10"/>
        <v>3.8923199999999958</v>
      </c>
      <c r="P35" s="4">
        <f t="shared" si="11"/>
        <v>35.605440000000023</v>
      </c>
    </row>
    <row r="36" spans="1:16" x14ac:dyDescent="0.5">
      <c r="A36" t="s">
        <v>110</v>
      </c>
      <c r="B36" t="str">
        <f t="shared" si="4"/>
        <v>RNG60xERR70xARM55xTDP70</v>
      </c>
      <c r="C36">
        <v>60</v>
      </c>
      <c r="D36">
        <v>70</v>
      </c>
      <c r="E36">
        <v>55</v>
      </c>
      <c r="F36">
        <v>70</v>
      </c>
      <c r="G36">
        <v>100000</v>
      </c>
      <c r="H36" s="3">
        <v>50255</v>
      </c>
      <c r="I36" s="3">
        <f t="shared" si="3"/>
        <v>49745</v>
      </c>
      <c r="J36" s="3">
        <v>433585</v>
      </c>
      <c r="K36" s="3">
        <v>431257</v>
      </c>
      <c r="L36" s="9">
        <f t="shared" si="5"/>
        <v>0.50255000000000005</v>
      </c>
      <c r="M36" s="5">
        <f t="shared" si="13"/>
        <v>4.3358499999999998</v>
      </c>
      <c r="N36" s="5">
        <f t="shared" si="12"/>
        <v>4.31257</v>
      </c>
      <c r="O36" s="5">
        <f t="shared" si="10"/>
        <v>0.17442000000000957</v>
      </c>
      <c r="P36" s="4">
        <f t="shared" si="11"/>
        <v>4.4350200000000619</v>
      </c>
    </row>
    <row r="37" spans="1:16" x14ac:dyDescent="0.5">
      <c r="A37" t="s">
        <v>110</v>
      </c>
      <c r="B37" t="str">
        <f t="shared" si="4"/>
        <v>RNG60xERR60xARM70xTDP70</v>
      </c>
      <c r="C37">
        <v>60</v>
      </c>
      <c r="D37">
        <v>60</v>
      </c>
      <c r="E37">
        <v>70</v>
      </c>
      <c r="F37">
        <v>70</v>
      </c>
      <c r="G37">
        <v>100000</v>
      </c>
      <c r="H37" s="3">
        <v>52145</v>
      </c>
      <c r="I37" s="3">
        <f t="shared" si="3"/>
        <v>47855</v>
      </c>
      <c r="J37" s="3">
        <v>433521</v>
      </c>
      <c r="K37" s="3">
        <v>413565</v>
      </c>
      <c r="L37" s="9">
        <f t="shared" si="5"/>
        <v>0.52144999999999997</v>
      </c>
      <c r="M37" s="5">
        <f t="shared" si="13"/>
        <v>4.33521</v>
      </c>
      <c r="N37" s="5">
        <f t="shared" si="12"/>
        <v>4.13565</v>
      </c>
      <c r="O37" s="5">
        <f t="shared" si="10"/>
        <v>3.2362199999999959</v>
      </c>
      <c r="P37" s="4">
        <f t="shared" si="11"/>
        <v>33.096060000000058</v>
      </c>
    </row>
    <row r="38" spans="1:16" x14ac:dyDescent="0.5">
      <c r="A38" t="s">
        <v>110</v>
      </c>
      <c r="B38" t="str">
        <f t="shared" si="4"/>
        <v>RNG50xERR60xARM50xTDP50</v>
      </c>
      <c r="C38">
        <v>50</v>
      </c>
      <c r="D38">
        <v>60</v>
      </c>
      <c r="E38">
        <v>50</v>
      </c>
      <c r="F38">
        <v>50</v>
      </c>
      <c r="G38">
        <v>100000</v>
      </c>
      <c r="H38" s="3">
        <v>49246</v>
      </c>
      <c r="I38" s="3">
        <f t="shared" si="3"/>
        <v>50754</v>
      </c>
      <c r="J38" s="3">
        <v>433184</v>
      </c>
      <c r="K38" s="3">
        <v>441456</v>
      </c>
      <c r="L38" s="9">
        <f t="shared" si="5"/>
        <v>0.49246000000000001</v>
      </c>
      <c r="M38" s="5">
        <f t="shared" si="13"/>
        <v>4.3318399999999997</v>
      </c>
      <c r="N38" s="5">
        <f t="shared" si="12"/>
        <v>4.4145599999999998</v>
      </c>
      <c r="O38" s="5">
        <f t="shared" si="10"/>
        <v>-1.4601599999999975</v>
      </c>
      <c r="P38" s="4">
        <f t="shared" si="11"/>
        <v>-12.087359999999906</v>
      </c>
    </row>
    <row r="39" spans="1:16" x14ac:dyDescent="0.5">
      <c r="A39" t="s">
        <v>110</v>
      </c>
      <c r="B39" t="str">
        <f t="shared" si="4"/>
        <v>RNG70xERR60xARM50xTDP50</v>
      </c>
      <c r="C39">
        <v>70</v>
      </c>
      <c r="D39">
        <v>60</v>
      </c>
      <c r="E39">
        <v>50</v>
      </c>
      <c r="F39">
        <v>50</v>
      </c>
      <c r="G39">
        <v>100000</v>
      </c>
      <c r="H39" s="3">
        <v>52265</v>
      </c>
      <c r="I39" s="3">
        <f t="shared" si="3"/>
        <v>47735</v>
      </c>
      <c r="J39" s="3">
        <v>434611</v>
      </c>
      <c r="K39" s="3">
        <v>413386</v>
      </c>
      <c r="L39" s="9">
        <f t="shared" si="5"/>
        <v>0.52264999999999995</v>
      </c>
      <c r="M39" s="5">
        <f t="shared" si="13"/>
        <v>4.3461100000000004</v>
      </c>
      <c r="N39" s="5">
        <f t="shared" si="12"/>
        <v>4.1338600000000003</v>
      </c>
      <c r="O39" s="5">
        <f t="shared" si="10"/>
        <v>3.4306199999999927</v>
      </c>
      <c r="P39" s="4">
        <f t="shared" si="11"/>
        <v>33.386040000000015</v>
      </c>
    </row>
    <row r="40" spans="1:16" x14ac:dyDescent="0.5">
      <c r="A40" t="s">
        <v>110</v>
      </c>
      <c r="B40" t="str">
        <f t="shared" si="4"/>
        <v>RNG40xERR60xARM40xTDP50</v>
      </c>
      <c r="C40">
        <v>40</v>
      </c>
      <c r="D40">
        <v>60</v>
      </c>
      <c r="E40">
        <v>40</v>
      </c>
      <c r="F40">
        <v>50</v>
      </c>
      <c r="G40">
        <v>100000</v>
      </c>
      <c r="H40" s="3">
        <v>49634</v>
      </c>
      <c r="I40" s="3">
        <f t="shared" si="3"/>
        <v>50366</v>
      </c>
      <c r="J40" s="3">
        <v>434504</v>
      </c>
      <c r="K40" s="3">
        <v>439028</v>
      </c>
      <c r="L40" s="9">
        <f t="shared" si="5"/>
        <v>0.49634</v>
      </c>
      <c r="M40" s="5">
        <f t="shared" si="13"/>
        <v>4.34504</v>
      </c>
      <c r="N40" s="5">
        <f t="shared" si="12"/>
        <v>4.3902799999999997</v>
      </c>
      <c r="O40" s="5">
        <f t="shared" si="10"/>
        <v>-0.83159999999999834</v>
      </c>
      <c r="P40" s="4">
        <f t="shared" si="11"/>
        <v>-8.1539999999998933</v>
      </c>
    </row>
    <row r="41" spans="1:16" x14ac:dyDescent="0.5">
      <c r="A41" t="s">
        <v>110</v>
      </c>
      <c r="B41" t="str">
        <f t="shared" si="4"/>
        <v>RNG45xERR60xARM45xTDP50</v>
      </c>
      <c r="C41">
        <v>45</v>
      </c>
      <c r="D41">
        <v>60</v>
      </c>
      <c r="E41">
        <v>45</v>
      </c>
      <c r="F41">
        <v>50</v>
      </c>
      <c r="G41">
        <v>100000</v>
      </c>
      <c r="H41" s="3">
        <v>49513</v>
      </c>
      <c r="I41" s="3">
        <f t="shared" si="3"/>
        <v>50487</v>
      </c>
      <c r="J41" s="3">
        <v>434082</v>
      </c>
      <c r="K41" s="3">
        <v>439389</v>
      </c>
      <c r="L41" s="9">
        <f t="shared" si="5"/>
        <v>0.49513000000000001</v>
      </c>
      <c r="M41" s="5">
        <f t="shared" si="13"/>
        <v>4.3408199999999999</v>
      </c>
      <c r="N41" s="5">
        <f t="shared" si="12"/>
        <v>4.3938899999999999</v>
      </c>
      <c r="O41" s="5">
        <f t="shared" si="10"/>
        <v>-1.0276199999999966</v>
      </c>
      <c r="P41" s="4">
        <f t="shared" si="11"/>
        <v>-8.7388199999999117</v>
      </c>
    </row>
    <row r="42" spans="1:16" x14ac:dyDescent="0.5">
      <c r="A42" t="s">
        <v>110</v>
      </c>
      <c r="B42" t="str">
        <f t="shared" si="4"/>
        <v>RNG65xERR60xARM65xTDP50</v>
      </c>
      <c r="C42">
        <v>65</v>
      </c>
      <c r="D42">
        <v>60</v>
      </c>
      <c r="E42">
        <v>65</v>
      </c>
      <c r="F42">
        <v>50</v>
      </c>
      <c r="G42">
        <v>100000</v>
      </c>
      <c r="H42" s="3">
        <v>52106</v>
      </c>
      <c r="I42" s="3">
        <f t="shared" si="3"/>
        <v>47894</v>
      </c>
      <c r="J42" s="3">
        <v>434288</v>
      </c>
      <c r="K42" s="3">
        <v>415068</v>
      </c>
      <c r="L42" s="9">
        <f t="shared" si="5"/>
        <v>0.52105999999999997</v>
      </c>
      <c r="M42" s="5">
        <f t="shared" si="13"/>
        <v>4.3428800000000001</v>
      </c>
      <c r="N42" s="5">
        <f t="shared" si="12"/>
        <v>4.1506800000000004</v>
      </c>
      <c r="O42" s="5">
        <f t="shared" si="10"/>
        <v>3.1730399999999959</v>
      </c>
      <c r="P42" s="4">
        <f t="shared" si="11"/>
        <v>30.661200000000004</v>
      </c>
    </row>
    <row r="43" spans="1:16" x14ac:dyDescent="0.5">
      <c r="A43" t="s">
        <v>110</v>
      </c>
      <c r="B43" t="str">
        <f t="shared" si="4"/>
        <v>RNG75xERR60xARM75xTDP50</v>
      </c>
      <c r="C43">
        <v>75</v>
      </c>
      <c r="D43">
        <v>60</v>
      </c>
      <c r="E43">
        <v>75</v>
      </c>
      <c r="F43">
        <v>50</v>
      </c>
      <c r="G43">
        <v>100000</v>
      </c>
      <c r="H43" s="3">
        <v>52581</v>
      </c>
      <c r="I43" s="3">
        <f t="shared" si="3"/>
        <v>47419</v>
      </c>
      <c r="J43" s="3">
        <v>433945</v>
      </c>
      <c r="K43" s="3">
        <v>411619</v>
      </c>
      <c r="L43" s="9">
        <f t="shared" si="5"/>
        <v>0.52581</v>
      </c>
      <c r="M43" s="5">
        <f t="shared" si="13"/>
        <v>4.3394500000000003</v>
      </c>
      <c r="N43" s="5">
        <f t="shared" si="12"/>
        <v>4.1161899999999996</v>
      </c>
      <c r="O43" s="5">
        <f t="shared" si="10"/>
        <v>3.942540000000001</v>
      </c>
      <c r="P43" s="4">
        <f t="shared" si="11"/>
        <v>36.248580000000132</v>
      </c>
    </row>
    <row r="44" spans="1:16" x14ac:dyDescent="0.5">
      <c r="A44" t="s">
        <v>110</v>
      </c>
      <c r="B44" t="str">
        <f t="shared" si="4"/>
        <v>RNG65xERR60xARM70xTDP50</v>
      </c>
      <c r="C44">
        <v>65</v>
      </c>
      <c r="D44">
        <v>60</v>
      </c>
      <c r="E44">
        <v>70</v>
      </c>
      <c r="F44">
        <v>50</v>
      </c>
      <c r="G44">
        <v>100000</v>
      </c>
      <c r="H44" s="3">
        <v>52111</v>
      </c>
      <c r="I44" s="3">
        <f t="shared" si="3"/>
        <v>47889</v>
      </c>
      <c r="J44" s="3">
        <v>432753</v>
      </c>
      <c r="K44" s="3">
        <v>412406</v>
      </c>
      <c r="L44" s="9">
        <f t="shared" si="5"/>
        <v>0.52110999999999996</v>
      </c>
      <c r="M44" s="5">
        <f t="shared" si="13"/>
        <v>4.3275300000000003</v>
      </c>
      <c r="N44" s="5">
        <f t="shared" si="12"/>
        <v>4.1240600000000001</v>
      </c>
      <c r="O44" s="5">
        <f t="shared" si="10"/>
        <v>3.1811399999999947</v>
      </c>
      <c r="P44" s="4">
        <f t="shared" si="11"/>
        <v>34.973640000000053</v>
      </c>
    </row>
    <row r="45" spans="1:16" x14ac:dyDescent="0.5">
      <c r="A45" t="s">
        <v>110</v>
      </c>
      <c r="B45" t="str">
        <f t="shared" si="4"/>
        <v>RNG70xERR60xARM65xTDP50</v>
      </c>
      <c r="C45">
        <v>70</v>
      </c>
      <c r="D45">
        <v>60</v>
      </c>
      <c r="E45">
        <v>65</v>
      </c>
      <c r="F45">
        <v>50</v>
      </c>
      <c r="G45">
        <v>100000</v>
      </c>
      <c r="H45" s="3">
        <v>52052</v>
      </c>
      <c r="I45" s="3">
        <f t="shared" si="3"/>
        <v>47948</v>
      </c>
      <c r="J45" s="3">
        <v>433072</v>
      </c>
      <c r="K45" s="3">
        <v>413777</v>
      </c>
      <c r="L45" s="9">
        <f t="shared" si="5"/>
        <v>0.52051999999999998</v>
      </c>
      <c r="M45" s="5">
        <f t="shared" si="13"/>
        <v>4.3307200000000003</v>
      </c>
      <c r="N45" s="5">
        <f t="shared" si="12"/>
        <v>4.1377699999999997</v>
      </c>
      <c r="O45" s="5">
        <f t="shared" si="10"/>
        <v>3.0855599999999983</v>
      </c>
      <c r="P45" s="4">
        <f t="shared" si="11"/>
        <v>32.752620000000107</v>
      </c>
    </row>
    <row r="46" spans="1:16" x14ac:dyDescent="0.5">
      <c r="A46" t="s">
        <v>110</v>
      </c>
      <c r="B46" t="str">
        <f t="shared" si="4"/>
        <v>RNG65xERR60xARM75xTDP50</v>
      </c>
      <c r="C46">
        <v>65</v>
      </c>
      <c r="D46">
        <v>60</v>
      </c>
      <c r="E46">
        <v>75</v>
      </c>
      <c r="F46">
        <v>50</v>
      </c>
      <c r="G46">
        <v>100000</v>
      </c>
      <c r="H46" s="3">
        <v>52349</v>
      </c>
      <c r="I46" s="3">
        <f t="shared" si="3"/>
        <v>47651</v>
      </c>
      <c r="J46" s="3">
        <v>435520</v>
      </c>
      <c r="K46" s="3">
        <v>412531</v>
      </c>
      <c r="L46" s="9">
        <f t="shared" si="5"/>
        <v>0.52349000000000001</v>
      </c>
      <c r="M46" s="5">
        <f t="shared" si="13"/>
        <v>4.3552</v>
      </c>
      <c r="N46" s="5">
        <f t="shared" si="12"/>
        <v>4.1253099999999998</v>
      </c>
      <c r="O46" s="5">
        <f t="shared" si="10"/>
        <v>3.5667000000000026</v>
      </c>
      <c r="P46" s="4">
        <f t="shared" si="11"/>
        <v>34.771140000000095</v>
      </c>
    </row>
    <row r="47" spans="1:16" x14ac:dyDescent="0.5">
      <c r="A47" t="s">
        <v>110</v>
      </c>
      <c r="B47" t="str">
        <f t="shared" si="4"/>
        <v>RNG70xERR60xARM75xTDP50</v>
      </c>
      <c r="C47">
        <v>70</v>
      </c>
      <c r="D47">
        <v>60</v>
      </c>
      <c r="E47">
        <v>75</v>
      </c>
      <c r="F47">
        <v>50</v>
      </c>
      <c r="G47">
        <v>100000</v>
      </c>
      <c r="H47" s="3">
        <v>52016</v>
      </c>
      <c r="I47" s="3">
        <f t="shared" si="3"/>
        <v>47984</v>
      </c>
      <c r="J47" s="3">
        <v>432978</v>
      </c>
      <c r="K47" s="3">
        <v>413830</v>
      </c>
      <c r="L47" s="9">
        <f t="shared" si="5"/>
        <v>0.52015999999999996</v>
      </c>
      <c r="M47" s="5">
        <f t="shared" si="13"/>
        <v>4.3297800000000004</v>
      </c>
      <c r="N47" s="5">
        <f t="shared" si="12"/>
        <v>4.1383000000000001</v>
      </c>
      <c r="O47" s="5">
        <f t="shared" si="10"/>
        <v>3.0272399999999937</v>
      </c>
      <c r="P47" s="4">
        <f t="shared" si="11"/>
        <v>32.666760000000053</v>
      </c>
    </row>
    <row r="48" spans="1:16" x14ac:dyDescent="0.5">
      <c r="A48" t="s">
        <v>110</v>
      </c>
      <c r="B48" t="str">
        <f t="shared" si="4"/>
        <v>RNG75xERR60xARM70xTDP50</v>
      </c>
      <c r="C48">
        <v>75</v>
      </c>
      <c r="D48">
        <v>60</v>
      </c>
      <c r="E48">
        <v>70</v>
      </c>
      <c r="F48">
        <v>50</v>
      </c>
      <c r="G48">
        <v>100000</v>
      </c>
      <c r="H48" s="3">
        <v>52311</v>
      </c>
      <c r="I48" s="3">
        <f t="shared" si="3"/>
        <v>47689</v>
      </c>
      <c r="J48" s="3">
        <v>434433</v>
      </c>
      <c r="K48" s="3">
        <v>413520</v>
      </c>
      <c r="L48" s="9">
        <f t="shared" si="5"/>
        <v>0.52310999999999996</v>
      </c>
      <c r="M48" s="5">
        <f t="shared" si="13"/>
        <v>4.3443300000000002</v>
      </c>
      <c r="N48" s="5">
        <f t="shared" si="12"/>
        <v>4.1352000000000002</v>
      </c>
      <c r="O48" s="5">
        <f t="shared" si="10"/>
        <v>3.5051399999999955</v>
      </c>
      <c r="P48" s="4">
        <f t="shared" si="11"/>
        <v>33.168960000000027</v>
      </c>
    </row>
    <row r="49" spans="1:16" x14ac:dyDescent="0.5">
      <c r="A49" t="s">
        <v>110</v>
      </c>
      <c r="B49" t="str">
        <f t="shared" si="4"/>
        <v>RNG40xERR60xARM70xTDP50</v>
      </c>
      <c r="C49">
        <v>40</v>
      </c>
      <c r="D49">
        <v>60</v>
      </c>
      <c r="E49">
        <v>70</v>
      </c>
      <c r="F49">
        <v>50</v>
      </c>
      <c r="G49">
        <v>100000</v>
      </c>
      <c r="H49" s="3">
        <v>49285</v>
      </c>
      <c r="I49" s="3">
        <f t="shared" si="3"/>
        <v>50715</v>
      </c>
      <c r="J49" s="3">
        <v>433924</v>
      </c>
      <c r="K49" s="3">
        <v>440790</v>
      </c>
      <c r="L49" s="9">
        <f t="shared" si="5"/>
        <v>0.49285000000000001</v>
      </c>
      <c r="M49" s="5">
        <f t="shared" si="13"/>
        <v>4.3392400000000002</v>
      </c>
      <c r="N49" s="5">
        <f t="shared" si="12"/>
        <v>4.4078999999999997</v>
      </c>
      <c r="O49" s="5">
        <f t="shared" si="10"/>
        <v>-1.3969799999999972</v>
      </c>
      <c r="P49" s="4">
        <f t="shared" si="11"/>
        <v>-11.008439999999888</v>
      </c>
    </row>
    <row r="50" spans="1:16" x14ac:dyDescent="0.5">
      <c r="A50" t="s">
        <v>110</v>
      </c>
      <c r="B50" t="str">
        <f t="shared" si="4"/>
        <v>RNG70xERR60xARM40xTDP50</v>
      </c>
      <c r="C50">
        <v>70</v>
      </c>
      <c r="D50">
        <v>60</v>
      </c>
      <c r="E50">
        <v>40</v>
      </c>
      <c r="F50">
        <v>50</v>
      </c>
      <c r="G50">
        <v>100000</v>
      </c>
      <c r="H50" s="3">
        <v>51624</v>
      </c>
      <c r="I50" s="3">
        <f t="shared" si="3"/>
        <v>48376</v>
      </c>
      <c r="J50" s="3">
        <v>432659</v>
      </c>
      <c r="K50" s="3">
        <v>416399</v>
      </c>
      <c r="L50" s="9">
        <f t="shared" si="5"/>
        <v>0.51624000000000003</v>
      </c>
      <c r="M50" s="5">
        <f t="shared" si="13"/>
        <v>4.3265900000000004</v>
      </c>
      <c r="N50" s="5">
        <f t="shared" si="12"/>
        <v>4.1639900000000001</v>
      </c>
      <c r="O50" s="5">
        <f t="shared" si="10"/>
        <v>2.3922000000000061</v>
      </c>
      <c r="P50" s="4">
        <f t="shared" si="11"/>
        <v>28.504980000000053</v>
      </c>
    </row>
    <row r="51" spans="1:16" x14ac:dyDescent="0.5">
      <c r="A51" t="s">
        <v>110</v>
      </c>
      <c r="B51" t="str">
        <f t="shared" si="4"/>
        <v>RNG75xERR60xARM40xTDP50</v>
      </c>
      <c r="C51">
        <v>75</v>
      </c>
      <c r="D51">
        <v>60</v>
      </c>
      <c r="E51">
        <v>40</v>
      </c>
      <c r="F51">
        <v>50</v>
      </c>
      <c r="G51">
        <v>100000</v>
      </c>
      <c r="H51" s="3">
        <v>51928</v>
      </c>
      <c r="I51" s="3">
        <f t="shared" si="3"/>
        <v>48072</v>
      </c>
      <c r="J51" s="3">
        <v>433536</v>
      </c>
      <c r="K51" s="3">
        <v>415506</v>
      </c>
      <c r="L51" s="9">
        <f t="shared" si="5"/>
        <v>0.51927999999999996</v>
      </c>
      <c r="M51" s="5">
        <f t="shared" si="13"/>
        <v>4.3353599999999997</v>
      </c>
      <c r="N51" s="5">
        <f t="shared" si="12"/>
        <v>4.1550599999999998</v>
      </c>
      <c r="O51" s="5">
        <f t="shared" si="10"/>
        <v>2.884679999999995</v>
      </c>
      <c r="P51" s="4">
        <f t="shared" si="11"/>
        <v>29.951640000000104</v>
      </c>
    </row>
    <row r="52" spans="1:16" x14ac:dyDescent="0.5">
      <c r="A52" t="s">
        <v>110</v>
      </c>
      <c r="B52" t="str">
        <f t="shared" si="4"/>
        <v>RNG40xERR60xARM75xTDP50</v>
      </c>
      <c r="C52">
        <v>40</v>
      </c>
      <c r="D52">
        <v>60</v>
      </c>
      <c r="E52">
        <v>75</v>
      </c>
      <c r="F52">
        <v>50</v>
      </c>
      <c r="G52">
        <v>100000</v>
      </c>
      <c r="H52" s="3">
        <v>49548</v>
      </c>
      <c r="I52" s="3">
        <f t="shared" si="3"/>
        <v>50452</v>
      </c>
      <c r="J52" s="3">
        <v>435037</v>
      </c>
      <c r="K52" s="3">
        <v>440020</v>
      </c>
      <c r="L52" s="9">
        <f t="shared" si="5"/>
        <v>0.49547999999999998</v>
      </c>
      <c r="M52" s="5">
        <f t="shared" si="13"/>
        <v>4.3503699999999998</v>
      </c>
      <c r="N52" s="5">
        <f t="shared" si="12"/>
        <v>4.4001999999999999</v>
      </c>
      <c r="O52" s="5">
        <f t="shared" si="10"/>
        <v>-0.97092000000000278</v>
      </c>
      <c r="P52" s="4">
        <f t="shared" si="11"/>
        <v>-9.7610399999999178</v>
      </c>
    </row>
    <row r="53" spans="1:16" x14ac:dyDescent="0.5">
      <c r="A53" t="s">
        <v>110</v>
      </c>
      <c r="B53" t="str">
        <f t="shared" si="4"/>
        <v>RNG40xERR60xARM65xTDP50</v>
      </c>
      <c r="C53">
        <v>40</v>
      </c>
      <c r="D53">
        <v>60</v>
      </c>
      <c r="E53">
        <v>65</v>
      </c>
      <c r="F53">
        <v>50</v>
      </c>
      <c r="G53">
        <v>100000</v>
      </c>
      <c r="H53" s="3">
        <v>49414</v>
      </c>
      <c r="I53" s="3">
        <f t="shared" si="3"/>
        <v>50586</v>
      </c>
      <c r="J53" s="3">
        <v>433776</v>
      </c>
      <c r="K53" s="3">
        <v>439331</v>
      </c>
      <c r="L53" s="9">
        <f t="shared" si="5"/>
        <v>0.49414000000000002</v>
      </c>
      <c r="M53" s="5">
        <f t="shared" si="13"/>
        <v>4.3377600000000003</v>
      </c>
      <c r="N53" s="5">
        <f t="shared" si="12"/>
        <v>4.3933099999999996</v>
      </c>
      <c r="O53" s="5">
        <f t="shared" si="10"/>
        <v>-1.1879999999999951</v>
      </c>
      <c r="P53" s="4">
        <f t="shared" si="11"/>
        <v>-8.6448599999998716</v>
      </c>
    </row>
    <row r="54" spans="1:16" x14ac:dyDescent="0.5">
      <c r="A54" t="s">
        <v>110</v>
      </c>
      <c r="B54" t="str">
        <f t="shared" si="4"/>
        <v>RNG50xERR60xARM65xTDP50</v>
      </c>
      <c r="C54">
        <v>50</v>
      </c>
      <c r="D54">
        <v>60</v>
      </c>
      <c r="E54">
        <v>65</v>
      </c>
      <c r="F54">
        <v>50</v>
      </c>
      <c r="G54">
        <v>100000</v>
      </c>
      <c r="H54" s="3">
        <v>49049</v>
      </c>
      <c r="I54" s="3">
        <f t="shared" si="3"/>
        <v>50951</v>
      </c>
      <c r="J54" s="3">
        <v>433556</v>
      </c>
      <c r="K54" s="3">
        <v>442684</v>
      </c>
      <c r="L54" s="9">
        <f t="shared" si="5"/>
        <v>0.49048999999999998</v>
      </c>
      <c r="M54" s="5">
        <f t="shared" si="13"/>
        <v>4.3355600000000001</v>
      </c>
      <c r="N54" s="5">
        <f t="shared" si="12"/>
        <v>4.4268400000000003</v>
      </c>
      <c r="O54" s="5">
        <f t="shared" si="10"/>
        <v>-1.7793000000000019</v>
      </c>
      <c r="P54" s="4">
        <f t="shared" si="11"/>
        <v>-14.076719999999989</v>
      </c>
    </row>
    <row r="55" spans="1:16" x14ac:dyDescent="0.5">
      <c r="A55" t="s">
        <v>110</v>
      </c>
      <c r="B55" t="str">
        <f t="shared" si="4"/>
        <v>RNG50xERR60xARM70xTDP50</v>
      </c>
      <c r="C55">
        <v>50</v>
      </c>
      <c r="D55">
        <v>60</v>
      </c>
      <c r="E55">
        <v>70</v>
      </c>
      <c r="F55">
        <v>50</v>
      </c>
      <c r="G55">
        <v>100000</v>
      </c>
      <c r="H55" s="3">
        <v>49028</v>
      </c>
      <c r="I55" s="3">
        <f t="shared" si="3"/>
        <v>50972</v>
      </c>
      <c r="J55" s="3">
        <v>433772</v>
      </c>
      <c r="K55" s="3">
        <v>443379</v>
      </c>
      <c r="L55" s="9">
        <f t="shared" si="5"/>
        <v>0.49027999999999999</v>
      </c>
      <c r="M55" s="5">
        <f t="shared" si="13"/>
        <v>4.33772</v>
      </c>
      <c r="N55" s="5">
        <f t="shared" si="12"/>
        <v>4.4337900000000001</v>
      </c>
      <c r="O55" s="5">
        <f t="shared" si="10"/>
        <v>-1.81332</v>
      </c>
      <c r="P55" s="4">
        <f t="shared" si="11"/>
        <v>-15.202619999999955</v>
      </c>
    </row>
    <row r="56" spans="1:16" x14ac:dyDescent="0.5">
      <c r="A56" t="s">
        <v>110</v>
      </c>
      <c r="B56" t="str">
        <f t="shared" si="4"/>
        <v>RNG50xERR60xARM40xTDP50</v>
      </c>
      <c r="C56">
        <v>50</v>
      </c>
      <c r="D56">
        <v>60</v>
      </c>
      <c r="E56">
        <v>40</v>
      </c>
      <c r="F56">
        <v>50</v>
      </c>
      <c r="G56">
        <v>100000</v>
      </c>
      <c r="H56" s="3">
        <v>49531</v>
      </c>
      <c r="I56" s="3">
        <f t="shared" si="3"/>
        <v>50469</v>
      </c>
      <c r="J56" s="3">
        <v>435008</v>
      </c>
      <c r="K56" s="3">
        <v>438664</v>
      </c>
      <c r="L56" s="9">
        <f t="shared" si="5"/>
        <v>0.49530999999999997</v>
      </c>
      <c r="M56" s="5">
        <f t="shared" si="13"/>
        <v>4.3500800000000002</v>
      </c>
      <c r="N56" s="5">
        <f t="shared" si="12"/>
        <v>4.3866399999999999</v>
      </c>
      <c r="O56" s="5">
        <f t="shared" si="10"/>
        <v>-0.99846000000000334</v>
      </c>
      <c r="P56" s="4">
        <f t="shared" si="11"/>
        <v>-7.5643199999999151</v>
      </c>
    </row>
    <row r="57" spans="1:16" x14ac:dyDescent="0.5">
      <c r="A57" t="s">
        <v>110</v>
      </c>
      <c r="B57" t="str">
        <f t="shared" si="4"/>
        <v>RNG55xERR60xARM65xTDP50</v>
      </c>
      <c r="C57">
        <v>55</v>
      </c>
      <c r="D57">
        <v>60</v>
      </c>
      <c r="E57">
        <v>65</v>
      </c>
      <c r="F57">
        <v>50</v>
      </c>
      <c r="G57">
        <v>100000</v>
      </c>
      <c r="H57" s="3">
        <v>49499</v>
      </c>
      <c r="I57" s="3">
        <f t="shared" si="3"/>
        <v>50501</v>
      </c>
      <c r="J57" s="3">
        <v>433035</v>
      </c>
      <c r="K57" s="3">
        <v>438234</v>
      </c>
      <c r="L57" s="9">
        <f t="shared" si="5"/>
        <v>0.49498999999999999</v>
      </c>
      <c r="M57" s="5">
        <f t="shared" si="13"/>
        <v>4.3303500000000001</v>
      </c>
      <c r="N57" s="5">
        <f t="shared" si="12"/>
        <v>4.3823400000000001</v>
      </c>
      <c r="O57" s="5">
        <f t="shared" si="10"/>
        <v>-1.0503000000000013</v>
      </c>
      <c r="P57" s="4">
        <f t="shared" si="11"/>
        <v>-6.8677199999999559</v>
      </c>
    </row>
    <row r="58" spans="1:16" x14ac:dyDescent="0.5">
      <c r="A58" t="s">
        <v>110</v>
      </c>
      <c r="B58" t="str">
        <f t="shared" si="4"/>
        <v>RNG55xERR60xARM70xTDP50</v>
      </c>
      <c r="C58">
        <v>55</v>
      </c>
      <c r="D58">
        <v>60</v>
      </c>
      <c r="E58">
        <v>70</v>
      </c>
      <c r="F58">
        <v>50</v>
      </c>
      <c r="G58">
        <v>100000</v>
      </c>
      <c r="H58" s="3">
        <v>50248</v>
      </c>
      <c r="I58" s="3">
        <f t="shared" si="3"/>
        <v>49752</v>
      </c>
      <c r="J58" s="3">
        <v>435287</v>
      </c>
      <c r="K58" s="3">
        <v>433298</v>
      </c>
      <c r="L58" s="9">
        <f t="shared" si="5"/>
        <v>0.50248000000000004</v>
      </c>
      <c r="M58" s="5">
        <f t="shared" si="13"/>
        <v>4.3528700000000002</v>
      </c>
      <c r="N58" s="5">
        <f t="shared" si="12"/>
        <v>4.3329800000000001</v>
      </c>
      <c r="O58" s="5">
        <f t="shared" si="10"/>
        <v>0.16308000000000722</v>
      </c>
      <c r="P58" s="4">
        <f t="shared" si="11"/>
        <v>1.1286000000000556</v>
      </c>
    </row>
    <row r="59" spans="1:16" x14ac:dyDescent="0.5">
      <c r="A59" t="s">
        <v>110</v>
      </c>
      <c r="B59" t="str">
        <f t="shared" si="4"/>
        <v>RNG65xERR60xARM40xTDP50</v>
      </c>
      <c r="C59">
        <v>65</v>
      </c>
      <c r="D59">
        <v>60</v>
      </c>
      <c r="E59">
        <v>40</v>
      </c>
      <c r="F59">
        <v>50</v>
      </c>
      <c r="G59">
        <v>100000</v>
      </c>
      <c r="H59" s="3">
        <v>49812</v>
      </c>
      <c r="I59" s="3">
        <f t="shared" si="3"/>
        <v>50188</v>
      </c>
      <c r="J59" s="3">
        <v>433931</v>
      </c>
      <c r="K59" s="3">
        <v>436798</v>
      </c>
      <c r="L59" s="9">
        <f t="shared" si="5"/>
        <v>0.49812000000000001</v>
      </c>
      <c r="M59" s="5">
        <f t="shared" si="13"/>
        <v>4.3393100000000002</v>
      </c>
      <c r="N59" s="5">
        <f t="shared" si="12"/>
        <v>4.3679800000000002</v>
      </c>
      <c r="O59" s="5">
        <f t="shared" si="10"/>
        <v>-0.54323999999999772</v>
      </c>
      <c r="P59" s="4">
        <f t="shared" si="11"/>
        <v>-4.5413999999999675</v>
      </c>
    </row>
    <row r="60" spans="1:16" x14ac:dyDescent="0.5">
      <c r="A60" t="s">
        <v>110</v>
      </c>
      <c r="B60" t="str">
        <f t="shared" si="4"/>
        <v>RNG65xERR60xARM60xTDP50</v>
      </c>
      <c r="C60">
        <v>65</v>
      </c>
      <c r="D60">
        <v>60</v>
      </c>
      <c r="E60">
        <v>60</v>
      </c>
      <c r="F60">
        <v>50</v>
      </c>
      <c r="G60">
        <v>100000</v>
      </c>
      <c r="H60" s="3">
        <v>52189</v>
      </c>
      <c r="I60" s="3">
        <f t="shared" si="3"/>
        <v>47811</v>
      </c>
      <c r="J60" s="3">
        <v>434658</v>
      </c>
      <c r="K60" s="3">
        <v>413851</v>
      </c>
      <c r="L60" s="9">
        <f t="shared" si="5"/>
        <v>0.52188999999999997</v>
      </c>
      <c r="M60" s="5">
        <f t="shared" si="13"/>
        <v>4.3465800000000003</v>
      </c>
      <c r="N60" s="5">
        <f t="shared" si="12"/>
        <v>4.1385100000000001</v>
      </c>
      <c r="O60" s="5">
        <f t="shared" si="10"/>
        <v>3.3074999999999957</v>
      </c>
      <c r="P60" s="4">
        <f t="shared" si="11"/>
        <v>32.632740000000041</v>
      </c>
    </row>
    <row r="61" spans="1:16" x14ac:dyDescent="0.5">
      <c r="A61" t="s">
        <v>110</v>
      </c>
      <c r="B61" t="str">
        <f t="shared" si="4"/>
        <v>RNG70xERR60xARM45xTDP50</v>
      </c>
      <c r="C61">
        <v>70</v>
      </c>
      <c r="D61">
        <v>60</v>
      </c>
      <c r="E61">
        <v>45</v>
      </c>
      <c r="F61">
        <v>50</v>
      </c>
      <c r="G61">
        <v>100000</v>
      </c>
      <c r="H61" s="3">
        <v>51836</v>
      </c>
      <c r="I61" s="3">
        <f t="shared" si="3"/>
        <v>48164</v>
      </c>
      <c r="J61" s="3">
        <v>432171</v>
      </c>
      <c r="K61" s="3">
        <v>414229</v>
      </c>
      <c r="L61" s="9">
        <f t="shared" si="5"/>
        <v>0.51836000000000004</v>
      </c>
      <c r="M61" s="5">
        <f t="shared" si="13"/>
        <v>4.3217100000000004</v>
      </c>
      <c r="N61" s="5">
        <f t="shared" si="12"/>
        <v>4.14229</v>
      </c>
      <c r="O61" s="5">
        <f t="shared" si="10"/>
        <v>2.7356400000000081</v>
      </c>
      <c r="P61" s="4">
        <f t="shared" si="11"/>
        <v>32.02038000000006</v>
      </c>
    </row>
    <row r="62" spans="1:16" x14ac:dyDescent="0.5">
      <c r="A62" t="s">
        <v>110</v>
      </c>
      <c r="B62" t="str">
        <f t="shared" si="4"/>
        <v>RNG65xERR60xARM45xTDP50</v>
      </c>
      <c r="C62">
        <v>65</v>
      </c>
      <c r="D62">
        <v>60</v>
      </c>
      <c r="E62">
        <v>45</v>
      </c>
      <c r="F62">
        <v>50</v>
      </c>
      <c r="G62">
        <v>100000</v>
      </c>
      <c r="H62" s="3">
        <v>50250</v>
      </c>
      <c r="I62" s="3">
        <f t="shared" si="3"/>
        <v>49750</v>
      </c>
      <c r="J62" s="3">
        <v>434565</v>
      </c>
      <c r="K62" s="3">
        <v>431161</v>
      </c>
      <c r="L62" s="9">
        <f t="shared" si="5"/>
        <v>0.50249999999999995</v>
      </c>
      <c r="M62" s="5">
        <f t="shared" si="13"/>
        <v>4.34565</v>
      </c>
      <c r="N62" s="5">
        <f t="shared" si="12"/>
        <v>4.3116099999999999</v>
      </c>
      <c r="O62" s="5">
        <f t="shared" si="10"/>
        <v>0.16631999999999247</v>
      </c>
      <c r="P62" s="4">
        <f t="shared" si="11"/>
        <v>4.5905400000000736</v>
      </c>
    </row>
    <row r="63" spans="1:16" x14ac:dyDescent="0.5">
      <c r="A63" t="s">
        <v>110</v>
      </c>
      <c r="B63" t="str">
        <f t="shared" si="4"/>
        <v>RNG65xERR60xARM50xTDP50</v>
      </c>
      <c r="C63">
        <v>65</v>
      </c>
      <c r="D63">
        <v>60</v>
      </c>
      <c r="E63">
        <v>50</v>
      </c>
      <c r="F63">
        <v>50</v>
      </c>
      <c r="G63">
        <v>100000</v>
      </c>
      <c r="H63" s="3">
        <v>51359</v>
      </c>
      <c r="I63" s="3">
        <f t="shared" si="3"/>
        <v>48641</v>
      </c>
      <c r="J63" s="3">
        <v>434075</v>
      </c>
      <c r="K63" s="3">
        <v>419987</v>
      </c>
      <c r="L63" s="9">
        <f t="shared" si="5"/>
        <v>0.51358999999999999</v>
      </c>
      <c r="M63" s="5">
        <f t="shared" si="13"/>
        <v>4.3407499999999999</v>
      </c>
      <c r="N63" s="5">
        <f t="shared" si="12"/>
        <v>4.1998699999999998</v>
      </c>
      <c r="O63" s="5">
        <f t="shared" si="10"/>
        <v>1.9628999999999996</v>
      </c>
      <c r="P63" s="4">
        <f t="shared" si="11"/>
        <v>22.692420000000102</v>
      </c>
    </row>
    <row r="64" spans="1:16" x14ac:dyDescent="0.5">
      <c r="A64" t="s">
        <v>110</v>
      </c>
      <c r="B64" t="str">
        <f t="shared" si="4"/>
        <v>RNG55xERR60xARM40xTDP50</v>
      </c>
      <c r="C64">
        <v>55</v>
      </c>
      <c r="D64">
        <v>60</v>
      </c>
      <c r="E64">
        <v>40</v>
      </c>
      <c r="F64">
        <v>50</v>
      </c>
      <c r="G64">
        <v>100000</v>
      </c>
      <c r="H64" s="3">
        <v>48969</v>
      </c>
      <c r="I64" s="3">
        <f t="shared" si="3"/>
        <v>51031</v>
      </c>
      <c r="J64" s="3">
        <v>432388</v>
      </c>
      <c r="K64" s="3">
        <v>441458</v>
      </c>
      <c r="L64" s="9">
        <f t="shared" si="5"/>
        <v>0.48969000000000001</v>
      </c>
      <c r="M64" s="5">
        <f t="shared" si="13"/>
        <v>4.3238799999999999</v>
      </c>
      <c r="N64" s="5">
        <f t="shared" si="12"/>
        <v>4.4145799999999999</v>
      </c>
      <c r="O64" s="5">
        <f t="shared" si="10"/>
        <v>-1.9088999999999965</v>
      </c>
      <c r="P64" s="4">
        <f t="shared" si="11"/>
        <v>-12.090599999999927</v>
      </c>
    </row>
    <row r="65" spans="1:16" x14ac:dyDescent="0.5">
      <c r="A65" t="s">
        <v>110</v>
      </c>
      <c r="B65" t="str">
        <f t="shared" si="4"/>
        <v>RNG55xERR60xARM45xTDP50</v>
      </c>
      <c r="C65">
        <v>55</v>
      </c>
      <c r="D65">
        <v>60</v>
      </c>
      <c r="E65">
        <v>45</v>
      </c>
      <c r="F65">
        <v>50</v>
      </c>
      <c r="G65">
        <v>100000</v>
      </c>
      <c r="H65" s="3">
        <v>49299</v>
      </c>
      <c r="I65" s="3">
        <f t="shared" si="3"/>
        <v>50701</v>
      </c>
      <c r="J65" s="3">
        <v>433605</v>
      </c>
      <c r="K65" s="3">
        <v>442501</v>
      </c>
      <c r="L65" s="9">
        <f t="shared" si="5"/>
        <v>0.49298999999999998</v>
      </c>
      <c r="M65" s="5">
        <f t="shared" si="13"/>
        <v>4.3360500000000002</v>
      </c>
      <c r="N65" s="5">
        <f t="shared" si="12"/>
        <v>4.4250100000000003</v>
      </c>
      <c r="O65" s="5">
        <f t="shared" si="10"/>
        <v>-1.3743000000000016</v>
      </c>
      <c r="P65" s="4">
        <f t="shared" si="11"/>
        <v>-13.78025999999999</v>
      </c>
    </row>
    <row r="66" spans="1:16" x14ac:dyDescent="0.5">
      <c r="A66" t="s">
        <v>110</v>
      </c>
      <c r="B66" t="str">
        <f t="shared" si="4"/>
        <v>RNG55xERR60xARM50xTDP50</v>
      </c>
      <c r="C66">
        <v>55</v>
      </c>
      <c r="D66">
        <v>60</v>
      </c>
      <c r="E66">
        <v>50</v>
      </c>
      <c r="F66">
        <v>50</v>
      </c>
      <c r="G66">
        <v>100000</v>
      </c>
      <c r="H66" s="3">
        <v>49352</v>
      </c>
      <c r="I66" s="3">
        <f t="shared" si="3"/>
        <v>50648</v>
      </c>
      <c r="J66" s="3">
        <v>435746</v>
      </c>
      <c r="K66" s="3">
        <v>441860</v>
      </c>
      <c r="L66" s="9">
        <f t="shared" si="5"/>
        <v>0.49352000000000001</v>
      </c>
      <c r="M66" s="5">
        <f t="shared" si="13"/>
        <v>4.3574599999999997</v>
      </c>
      <c r="N66" s="5">
        <f t="shared" si="12"/>
        <v>4.4185999999999996</v>
      </c>
      <c r="O66" s="5">
        <f t="shared" si="10"/>
        <v>-1.2884399999999965</v>
      </c>
      <c r="P66" s="4">
        <f t="shared" si="11"/>
        <v>-12.741839999999877</v>
      </c>
    </row>
    <row r="67" spans="1:16" x14ac:dyDescent="0.5">
      <c r="A67" t="s">
        <v>110</v>
      </c>
      <c r="B67" t="str">
        <f t="shared" si="4"/>
        <v>RNG55xERR60xARM60xTDP50</v>
      </c>
      <c r="C67">
        <v>55</v>
      </c>
      <c r="D67">
        <v>60</v>
      </c>
      <c r="E67">
        <v>60</v>
      </c>
      <c r="F67">
        <v>50</v>
      </c>
      <c r="G67">
        <v>100000</v>
      </c>
      <c r="H67" s="3">
        <v>49374</v>
      </c>
      <c r="I67" s="3">
        <f t="shared" si="3"/>
        <v>50626</v>
      </c>
      <c r="J67" s="3">
        <v>433284</v>
      </c>
      <c r="K67" s="3">
        <v>441415</v>
      </c>
      <c r="L67" s="9">
        <f t="shared" si="5"/>
        <v>0.49374000000000001</v>
      </c>
      <c r="M67" s="5">
        <f t="shared" si="13"/>
        <v>4.33284</v>
      </c>
      <c r="N67" s="5">
        <f t="shared" si="12"/>
        <v>4.4141500000000002</v>
      </c>
      <c r="O67" s="5">
        <f t="shared" si="10"/>
        <v>-1.252799999999997</v>
      </c>
      <c r="P67" s="4">
        <f t="shared" si="11"/>
        <v>-12.020939999999975</v>
      </c>
    </row>
    <row r="68" spans="1:16" x14ac:dyDescent="0.5">
      <c r="A68" t="s">
        <v>110</v>
      </c>
      <c r="B68" t="str">
        <f t="shared" si="4"/>
        <v>RNG55xERR60xARM75xTDP50</v>
      </c>
      <c r="C68">
        <v>55</v>
      </c>
      <c r="D68">
        <v>60</v>
      </c>
      <c r="E68">
        <v>75</v>
      </c>
      <c r="F68">
        <v>50</v>
      </c>
      <c r="G68">
        <v>100000</v>
      </c>
      <c r="H68" s="3">
        <v>51137</v>
      </c>
      <c r="I68" s="3">
        <f t="shared" si="3"/>
        <v>48863</v>
      </c>
      <c r="J68" s="3">
        <v>433746</v>
      </c>
      <c r="K68" s="3">
        <v>422547</v>
      </c>
      <c r="L68" s="9">
        <f t="shared" si="5"/>
        <v>0.51136999999999999</v>
      </c>
      <c r="M68" s="5">
        <f t="shared" si="13"/>
        <v>4.3374600000000001</v>
      </c>
      <c r="N68" s="5">
        <f t="shared" si="12"/>
        <v>4.2254699999999996</v>
      </c>
      <c r="O68" s="5">
        <f t="shared" si="10"/>
        <v>1.6032599999999997</v>
      </c>
      <c r="P68" s="4">
        <f t="shared" si="11"/>
        <v>18.545220000000128</v>
      </c>
    </row>
    <row r="69" spans="1:16" x14ac:dyDescent="0.5">
      <c r="A69" t="s">
        <v>110</v>
      </c>
      <c r="B69" t="str">
        <f t="shared" si="4"/>
        <v>RNG60xERR60xARM40xTDP50</v>
      </c>
      <c r="C69">
        <v>60</v>
      </c>
      <c r="D69">
        <v>60</v>
      </c>
      <c r="E69">
        <v>40</v>
      </c>
      <c r="F69">
        <v>50</v>
      </c>
      <c r="G69">
        <v>100000</v>
      </c>
      <c r="H69" s="3">
        <v>48949</v>
      </c>
      <c r="I69" s="3">
        <f t="shared" ref="I69:I129" si="14">G69-H69</f>
        <v>51051</v>
      </c>
      <c r="J69" s="3">
        <v>432937</v>
      </c>
      <c r="K69" s="3">
        <v>442175</v>
      </c>
      <c r="L69" s="9">
        <f t="shared" si="5"/>
        <v>0.48948999999999998</v>
      </c>
      <c r="M69" s="5">
        <f t="shared" si="13"/>
        <v>4.3293699999999999</v>
      </c>
      <c r="N69" s="5">
        <f t="shared" si="12"/>
        <v>4.4217500000000003</v>
      </c>
      <c r="O69" s="5">
        <f t="shared" si="10"/>
        <v>-1.941300000000002</v>
      </c>
      <c r="P69" s="4">
        <f t="shared" si="11"/>
        <v>-13.252139999999983</v>
      </c>
    </row>
    <row r="70" spans="1:16" x14ac:dyDescent="0.5">
      <c r="A70" t="s">
        <v>110</v>
      </c>
      <c r="B70" t="str">
        <f t="shared" si="4"/>
        <v>RNG60xERR60xARM45xTDP50</v>
      </c>
      <c r="C70">
        <v>60</v>
      </c>
      <c r="D70">
        <v>60</v>
      </c>
      <c r="E70">
        <v>45</v>
      </c>
      <c r="F70">
        <v>50</v>
      </c>
      <c r="G70">
        <v>100000</v>
      </c>
      <c r="H70" s="3">
        <v>49079</v>
      </c>
      <c r="I70" s="3">
        <f t="shared" si="14"/>
        <v>50921</v>
      </c>
      <c r="J70" s="3">
        <v>432969</v>
      </c>
      <c r="K70" s="3">
        <v>440954</v>
      </c>
      <c r="L70" s="9">
        <f t="shared" si="5"/>
        <v>0.49079</v>
      </c>
      <c r="M70" s="5">
        <f t="shared" si="13"/>
        <v>4.3296900000000003</v>
      </c>
      <c r="N70" s="5">
        <f t="shared" si="12"/>
        <v>4.4095399999999998</v>
      </c>
      <c r="O70" s="5">
        <f t="shared" si="10"/>
        <v>-1.7306999999999984</v>
      </c>
      <c r="P70" s="4">
        <f t="shared" si="11"/>
        <v>-11.274119999999902</v>
      </c>
    </row>
    <row r="71" spans="1:16" x14ac:dyDescent="0.5">
      <c r="A71" t="s">
        <v>110</v>
      </c>
      <c r="B71" t="str">
        <f t="shared" si="4"/>
        <v>RNG70xERR60xARM60xTDP50</v>
      </c>
      <c r="C71">
        <v>70</v>
      </c>
      <c r="D71">
        <v>60</v>
      </c>
      <c r="E71">
        <v>60</v>
      </c>
      <c r="F71">
        <v>50</v>
      </c>
      <c r="G71">
        <v>100000</v>
      </c>
      <c r="H71" s="3">
        <v>52140</v>
      </c>
      <c r="I71" s="3">
        <f t="shared" si="14"/>
        <v>47860</v>
      </c>
      <c r="J71" s="3">
        <v>434730</v>
      </c>
      <c r="K71" s="3">
        <v>414048</v>
      </c>
      <c r="L71" s="9">
        <f t="shared" si="5"/>
        <v>0.52139999999999997</v>
      </c>
      <c r="M71" s="5">
        <f t="shared" si="13"/>
        <v>4.3472999999999997</v>
      </c>
      <c r="N71" s="5">
        <f t="shared" si="12"/>
        <v>4.1404800000000002</v>
      </c>
      <c r="O71" s="5">
        <f t="shared" si="10"/>
        <v>3.228119999999997</v>
      </c>
      <c r="P71" s="4">
        <f t="shared" si="11"/>
        <v>32.313600000000037</v>
      </c>
    </row>
    <row r="72" spans="1:16" x14ac:dyDescent="0.5">
      <c r="A72" s="18" t="s">
        <v>171</v>
      </c>
      <c r="B72" s="18" t="s">
        <v>165</v>
      </c>
      <c r="C72" s="18">
        <v>35</v>
      </c>
      <c r="D72" s="18">
        <v>35</v>
      </c>
      <c r="E72" s="18">
        <v>40</v>
      </c>
      <c r="F72" s="18">
        <v>40</v>
      </c>
      <c r="G72" s="18">
        <v>100000</v>
      </c>
      <c r="H72" s="19">
        <v>50147.333333333336</v>
      </c>
      <c r="I72" s="19">
        <v>49852.666666666664</v>
      </c>
      <c r="J72" s="19">
        <v>434431.33333333331</v>
      </c>
      <c r="K72" s="19">
        <v>433994.66666666669</v>
      </c>
      <c r="L72" s="20">
        <v>0.50147333333333333</v>
      </c>
      <c r="M72" s="21">
        <v>4.344313333333333</v>
      </c>
      <c r="N72" s="21">
        <v>4.3399466666666671</v>
      </c>
      <c r="O72" s="21" t="s">
        <v>50</v>
      </c>
      <c r="P72" s="22" t="s">
        <v>50</v>
      </c>
    </row>
    <row r="73" spans="1:16" x14ac:dyDescent="0.5">
      <c r="A73" t="s">
        <v>171</v>
      </c>
      <c r="B73" t="str">
        <f t="shared" ref="B73:B136" si="15">_xlfn.CONCAT("RNG",C73,"xERR",D73,"xARM",E73,"xTDP",F73)</f>
        <v>RNG20xERR35xARM40xTDP40</v>
      </c>
      <c r="C73">
        <v>20</v>
      </c>
      <c r="D73">
        <v>35</v>
      </c>
      <c r="E73">
        <v>40</v>
      </c>
      <c r="F73">
        <v>40</v>
      </c>
      <c r="G73">
        <v>100000</v>
      </c>
      <c r="H73" s="3">
        <v>49785</v>
      </c>
      <c r="I73" s="3">
        <f t="shared" si="14"/>
        <v>50215</v>
      </c>
      <c r="J73" s="3">
        <v>431980</v>
      </c>
      <c r="K73" s="3">
        <v>435007</v>
      </c>
      <c r="L73" s="9">
        <f t="shared" ref="L73:L84" si="16">H73/G73</f>
        <v>0.49785000000000001</v>
      </c>
      <c r="M73" s="5">
        <f t="shared" ref="M73:M84" si="17">J73/G73</f>
        <v>4.3197999999999999</v>
      </c>
      <c r="N73" s="5">
        <f t="shared" ref="N73:N84" si="18">K73/G73</f>
        <v>4.3500699999999997</v>
      </c>
      <c r="O73" s="5">
        <f t="shared" ref="O73:O84" si="19">(L73-$L$7)*162</f>
        <v>-0.5869799999999965</v>
      </c>
      <c r="P73" s="4">
        <f t="shared" ref="P73:P84" si="20">-(N73-$N$7)*162</f>
        <v>-1.6399799999998805</v>
      </c>
    </row>
    <row r="74" spans="1:16" x14ac:dyDescent="0.5">
      <c r="A74" t="s">
        <v>171</v>
      </c>
      <c r="B74" t="str">
        <f t="shared" si="15"/>
        <v>RNG30xERR35xARM40xTDP40</v>
      </c>
      <c r="C74">
        <v>30</v>
      </c>
      <c r="D74">
        <v>35</v>
      </c>
      <c r="E74">
        <v>40</v>
      </c>
      <c r="F74">
        <v>40</v>
      </c>
      <c r="G74">
        <v>100000</v>
      </c>
      <c r="H74" s="3">
        <v>49649</v>
      </c>
      <c r="I74" s="3">
        <f t="shared" si="14"/>
        <v>50351</v>
      </c>
      <c r="J74" s="3">
        <v>434021</v>
      </c>
      <c r="K74" s="3">
        <v>436272</v>
      </c>
      <c r="L74" s="9">
        <f t="shared" si="16"/>
        <v>0.49648999999999999</v>
      </c>
      <c r="M74" s="5">
        <f t="shared" si="17"/>
        <v>4.3402099999999999</v>
      </c>
      <c r="N74" s="5">
        <f t="shared" si="18"/>
        <v>4.3627200000000004</v>
      </c>
      <c r="O74" s="5">
        <f t="shared" si="19"/>
        <v>-0.80730000000000102</v>
      </c>
      <c r="P74" s="4">
        <f t="shared" si="20"/>
        <v>-3.6892799999999966</v>
      </c>
    </row>
    <row r="75" spans="1:16" x14ac:dyDescent="0.5">
      <c r="A75" t="s">
        <v>171</v>
      </c>
      <c r="B75" t="str">
        <f t="shared" si="15"/>
        <v>RNG40xERR35xARM40xTDP40</v>
      </c>
      <c r="C75">
        <v>40</v>
      </c>
      <c r="D75">
        <v>35</v>
      </c>
      <c r="E75">
        <v>40</v>
      </c>
      <c r="F75">
        <v>40</v>
      </c>
      <c r="G75">
        <v>100000</v>
      </c>
      <c r="H75" s="3">
        <v>50370</v>
      </c>
      <c r="I75" s="3">
        <f t="shared" si="14"/>
        <v>49630</v>
      </c>
      <c r="J75" s="3">
        <v>435324</v>
      </c>
      <c r="K75" s="3">
        <v>433571</v>
      </c>
      <c r="L75" s="9">
        <f t="shared" si="16"/>
        <v>0.50370000000000004</v>
      </c>
      <c r="M75" s="5">
        <f t="shared" si="17"/>
        <v>4.3532400000000004</v>
      </c>
      <c r="N75" s="5">
        <f t="shared" si="18"/>
        <v>4.3357099999999997</v>
      </c>
      <c r="O75" s="5">
        <f t="shared" si="19"/>
        <v>0.36072000000000704</v>
      </c>
      <c r="P75" s="4">
        <f t="shared" si="20"/>
        <v>0.68634000000010786</v>
      </c>
    </row>
    <row r="76" spans="1:16" x14ac:dyDescent="0.5">
      <c r="A76" t="s">
        <v>171</v>
      </c>
      <c r="B76" t="str">
        <f t="shared" si="15"/>
        <v>RNG45xERR35xARM40xTDP40</v>
      </c>
      <c r="C76">
        <v>45</v>
      </c>
      <c r="D76">
        <v>35</v>
      </c>
      <c r="E76">
        <v>40</v>
      </c>
      <c r="F76">
        <v>40</v>
      </c>
      <c r="G76">
        <v>100000</v>
      </c>
      <c r="H76" s="3">
        <v>50354</v>
      </c>
      <c r="I76" s="3">
        <f t="shared" si="14"/>
        <v>49646</v>
      </c>
      <c r="J76" s="3">
        <v>432861</v>
      </c>
      <c r="K76" s="3">
        <v>431648</v>
      </c>
      <c r="L76" s="9">
        <f t="shared" si="16"/>
        <v>0.50353999999999999</v>
      </c>
      <c r="M76" s="5">
        <f t="shared" si="17"/>
        <v>4.3286100000000003</v>
      </c>
      <c r="N76" s="5">
        <f t="shared" si="18"/>
        <v>4.3164800000000003</v>
      </c>
      <c r="O76" s="5">
        <f t="shared" si="19"/>
        <v>0.3347999999999991</v>
      </c>
      <c r="P76" s="4">
        <f t="shared" si="20"/>
        <v>3.801600000000013</v>
      </c>
    </row>
    <row r="77" spans="1:16" x14ac:dyDescent="0.5">
      <c r="A77" t="s">
        <v>171</v>
      </c>
      <c r="B77" t="str">
        <f t="shared" si="15"/>
        <v>RNG50xERR35xARM40xTDP40</v>
      </c>
      <c r="C77">
        <v>50</v>
      </c>
      <c r="D77">
        <v>35</v>
      </c>
      <c r="E77">
        <v>40</v>
      </c>
      <c r="F77">
        <v>40</v>
      </c>
      <c r="G77">
        <v>100000</v>
      </c>
      <c r="H77" s="3">
        <v>50084</v>
      </c>
      <c r="I77" s="3">
        <f t="shared" si="14"/>
        <v>49916</v>
      </c>
      <c r="J77" s="3">
        <v>435040</v>
      </c>
      <c r="K77" s="3">
        <v>433487</v>
      </c>
      <c r="L77" s="9">
        <f t="shared" si="16"/>
        <v>0.50083999999999995</v>
      </c>
      <c r="M77" s="5">
        <f t="shared" si="17"/>
        <v>4.3503999999999996</v>
      </c>
      <c r="N77" s="5">
        <f t="shared" si="18"/>
        <v>4.3348699999999996</v>
      </c>
      <c r="O77" s="5">
        <f t="shared" si="19"/>
        <v>-0.10260000000000669</v>
      </c>
      <c r="P77" s="4">
        <f t="shared" si="20"/>
        <v>0.82242000000013604</v>
      </c>
    </row>
    <row r="78" spans="1:16" x14ac:dyDescent="0.5">
      <c r="A78" t="s">
        <v>171</v>
      </c>
      <c r="B78" t="str">
        <f t="shared" si="15"/>
        <v>RNG35xERR20xARM40xTDP40</v>
      </c>
      <c r="C78">
        <v>35</v>
      </c>
      <c r="D78">
        <v>20</v>
      </c>
      <c r="E78">
        <v>40</v>
      </c>
      <c r="F78">
        <v>40</v>
      </c>
      <c r="G78">
        <v>100000</v>
      </c>
      <c r="H78" s="3">
        <v>49809</v>
      </c>
      <c r="I78" s="3">
        <f t="shared" si="14"/>
        <v>50191</v>
      </c>
      <c r="J78" s="3">
        <v>433003</v>
      </c>
      <c r="K78" s="3">
        <v>435255</v>
      </c>
      <c r="L78" s="9">
        <f t="shared" si="16"/>
        <v>0.49808999999999998</v>
      </c>
      <c r="M78" s="5">
        <f t="shared" si="17"/>
        <v>4.3300299999999998</v>
      </c>
      <c r="N78" s="5">
        <f t="shared" si="18"/>
        <v>4.3525499999999999</v>
      </c>
      <c r="O78" s="5">
        <f t="shared" si="19"/>
        <v>-0.54810000000000259</v>
      </c>
      <c r="P78" s="4">
        <f t="shared" si="20"/>
        <v>-2.0417399999999226</v>
      </c>
    </row>
    <row r="79" spans="1:16" x14ac:dyDescent="0.5">
      <c r="A79" t="s">
        <v>171</v>
      </c>
      <c r="B79" t="str">
        <f t="shared" si="15"/>
        <v>RNG35xERR30xARM40xTDP40</v>
      </c>
      <c r="C79">
        <v>35</v>
      </c>
      <c r="D79">
        <v>30</v>
      </c>
      <c r="E79">
        <v>40</v>
      </c>
      <c r="F79">
        <v>40</v>
      </c>
      <c r="G79">
        <v>100000</v>
      </c>
      <c r="H79" s="3">
        <v>50204</v>
      </c>
      <c r="I79" s="3">
        <f t="shared" si="14"/>
        <v>49796</v>
      </c>
      <c r="J79" s="3">
        <v>434831</v>
      </c>
      <c r="K79" s="3">
        <v>433581</v>
      </c>
      <c r="L79" s="9">
        <f t="shared" si="16"/>
        <v>0.50204000000000004</v>
      </c>
      <c r="M79" s="5">
        <f t="shared" si="17"/>
        <v>4.3483099999999997</v>
      </c>
      <c r="N79" s="5">
        <f t="shared" si="18"/>
        <v>4.3358100000000004</v>
      </c>
      <c r="O79" s="5">
        <f t="shared" si="19"/>
        <v>9.1800000000007875E-2</v>
      </c>
      <c r="P79" s="4">
        <f t="shared" si="20"/>
        <v>0.67014000000000173</v>
      </c>
    </row>
    <row r="80" spans="1:16" x14ac:dyDescent="0.5">
      <c r="A80" t="s">
        <v>171</v>
      </c>
      <c r="B80" t="str">
        <f t="shared" si="15"/>
        <v>RNG35xERR40xARM40xTDP40</v>
      </c>
      <c r="C80">
        <v>35</v>
      </c>
      <c r="D80">
        <v>40</v>
      </c>
      <c r="E80">
        <v>40</v>
      </c>
      <c r="F80">
        <v>40</v>
      </c>
      <c r="G80">
        <v>100000</v>
      </c>
      <c r="H80" s="3">
        <v>50104</v>
      </c>
      <c r="I80" s="3">
        <f t="shared" si="14"/>
        <v>49896</v>
      </c>
      <c r="J80" s="3">
        <v>433688</v>
      </c>
      <c r="K80" s="3">
        <v>433280</v>
      </c>
      <c r="L80" s="9">
        <f t="shared" si="16"/>
        <v>0.50104000000000004</v>
      </c>
      <c r="M80" s="5">
        <f t="shared" si="17"/>
        <v>4.3368799999999998</v>
      </c>
      <c r="N80" s="5">
        <f t="shared" si="18"/>
        <v>4.3327999999999998</v>
      </c>
      <c r="O80" s="5">
        <f t="shared" si="19"/>
        <v>-7.0199999999992269E-2</v>
      </c>
      <c r="P80" s="4">
        <f t="shared" si="20"/>
        <v>1.1577600000001027</v>
      </c>
    </row>
    <row r="81" spans="1:16" x14ac:dyDescent="0.5">
      <c r="A81" t="s">
        <v>171</v>
      </c>
      <c r="B81" t="str">
        <f t="shared" si="15"/>
        <v>RNG35xERR50xARM40xTDP40</v>
      </c>
      <c r="C81">
        <v>35</v>
      </c>
      <c r="D81">
        <v>50</v>
      </c>
      <c r="E81">
        <v>40</v>
      </c>
      <c r="F81">
        <v>40</v>
      </c>
      <c r="G81">
        <v>100000</v>
      </c>
      <c r="H81" s="3">
        <v>50127</v>
      </c>
      <c r="I81" s="3">
        <f t="shared" si="14"/>
        <v>49873</v>
      </c>
      <c r="J81" s="3">
        <v>434898</v>
      </c>
      <c r="K81" s="3">
        <v>435363</v>
      </c>
      <c r="L81" s="9">
        <f t="shared" si="16"/>
        <v>0.50126999999999999</v>
      </c>
      <c r="M81" s="5">
        <f t="shared" si="17"/>
        <v>4.3489800000000001</v>
      </c>
      <c r="N81" s="5">
        <f t="shared" si="18"/>
        <v>4.3536299999999999</v>
      </c>
      <c r="O81" s="5">
        <f t="shared" si="19"/>
        <v>-3.2939999999999969E-2</v>
      </c>
      <c r="P81" s="4">
        <f t="shared" si="20"/>
        <v>-2.2166999999999177</v>
      </c>
    </row>
    <row r="82" spans="1:16" x14ac:dyDescent="0.5">
      <c r="A82" t="s">
        <v>171</v>
      </c>
      <c r="B82" t="str">
        <f t="shared" si="15"/>
        <v>RNG35xERR60xARM40xTDP40</v>
      </c>
      <c r="C82">
        <v>35</v>
      </c>
      <c r="D82">
        <v>60</v>
      </c>
      <c r="E82">
        <v>40</v>
      </c>
      <c r="F82">
        <v>40</v>
      </c>
      <c r="G82">
        <v>100000</v>
      </c>
      <c r="H82" s="3">
        <v>49836</v>
      </c>
      <c r="I82" s="3">
        <f t="shared" si="14"/>
        <v>50164</v>
      </c>
      <c r="J82" s="3">
        <v>434831</v>
      </c>
      <c r="K82" s="3">
        <v>435131</v>
      </c>
      <c r="L82" s="9">
        <f t="shared" si="16"/>
        <v>0.49836000000000003</v>
      </c>
      <c r="M82" s="5">
        <f t="shared" si="17"/>
        <v>4.3483099999999997</v>
      </c>
      <c r="N82" s="5">
        <f t="shared" si="18"/>
        <v>4.3513099999999998</v>
      </c>
      <c r="O82" s="5">
        <f t="shared" si="19"/>
        <v>-0.50435999999999481</v>
      </c>
      <c r="P82" s="4">
        <f t="shared" si="20"/>
        <v>-1.8408599999999016</v>
      </c>
    </row>
    <row r="83" spans="1:16" x14ac:dyDescent="0.5">
      <c r="A83" t="s">
        <v>171</v>
      </c>
      <c r="B83" t="str">
        <f t="shared" si="15"/>
        <v>RNG40xERR40xARM40xTDP40</v>
      </c>
      <c r="C83">
        <v>40</v>
      </c>
      <c r="D83">
        <v>40</v>
      </c>
      <c r="E83">
        <v>40</v>
      </c>
      <c r="F83">
        <v>40</v>
      </c>
      <c r="G83">
        <v>100000</v>
      </c>
      <c r="H83" s="3">
        <v>50112</v>
      </c>
      <c r="I83" s="3">
        <f t="shared" si="14"/>
        <v>49888</v>
      </c>
      <c r="J83" s="3">
        <v>434556</v>
      </c>
      <c r="K83" s="3">
        <v>433551</v>
      </c>
      <c r="L83" s="9">
        <f t="shared" si="16"/>
        <v>0.50112000000000001</v>
      </c>
      <c r="M83" s="5">
        <f t="shared" si="17"/>
        <v>4.3455599999999999</v>
      </c>
      <c r="N83" s="5">
        <f t="shared" si="18"/>
        <v>4.3355100000000002</v>
      </c>
      <c r="O83" s="5">
        <f t="shared" si="19"/>
        <v>-5.7239999999997293E-2</v>
      </c>
      <c r="P83" s="4">
        <f t="shared" si="20"/>
        <v>0.71874000000003235</v>
      </c>
    </row>
    <row r="84" spans="1:16" x14ac:dyDescent="0.5">
      <c r="A84" t="s">
        <v>171</v>
      </c>
      <c r="B84" t="str">
        <f t="shared" si="15"/>
        <v>RNG50xERR50xARM50xTDP50</v>
      </c>
      <c r="C84">
        <v>50</v>
      </c>
      <c r="D84">
        <v>50</v>
      </c>
      <c r="E84">
        <v>50</v>
      </c>
      <c r="F84">
        <v>50</v>
      </c>
      <c r="G84">
        <v>100000</v>
      </c>
      <c r="H84" s="3">
        <v>50163</v>
      </c>
      <c r="I84" s="3">
        <f t="shared" si="14"/>
        <v>49837</v>
      </c>
      <c r="J84" s="3">
        <v>433538</v>
      </c>
      <c r="K84" s="3">
        <v>431491</v>
      </c>
      <c r="L84" s="9">
        <f t="shared" si="16"/>
        <v>0.50163000000000002</v>
      </c>
      <c r="M84" s="5">
        <f t="shared" si="17"/>
        <v>4.3353799999999998</v>
      </c>
      <c r="N84" s="5">
        <f t="shared" si="18"/>
        <v>4.3149100000000002</v>
      </c>
      <c r="O84" s="5">
        <f t="shared" si="19"/>
        <v>2.5380000000004399E-2</v>
      </c>
      <c r="P84" s="4">
        <f t="shared" si="20"/>
        <v>4.0559400000000245</v>
      </c>
    </row>
    <row r="85" spans="1:16" x14ac:dyDescent="0.5">
      <c r="A85" s="18" t="s">
        <v>5</v>
      </c>
      <c r="B85" s="18" t="s">
        <v>165</v>
      </c>
      <c r="C85" s="18">
        <v>50</v>
      </c>
      <c r="D85" s="18">
        <v>55</v>
      </c>
      <c r="E85" s="18">
        <v>50</v>
      </c>
      <c r="F85" s="18">
        <v>55</v>
      </c>
      <c r="G85" s="18">
        <v>100000</v>
      </c>
      <c r="H85" s="19">
        <v>50147.333333333336</v>
      </c>
      <c r="I85" s="19">
        <v>49852.666666666664</v>
      </c>
      <c r="J85" s="19">
        <v>434431.33333333331</v>
      </c>
      <c r="K85" s="19">
        <v>433994.66666666669</v>
      </c>
      <c r="L85" s="20">
        <v>0.50147333333333333</v>
      </c>
      <c r="M85" s="21">
        <v>4.344313333333333</v>
      </c>
      <c r="N85" s="21">
        <v>4.3399466666666671</v>
      </c>
      <c r="O85" s="21" t="s">
        <v>50</v>
      </c>
      <c r="P85" s="22" t="s">
        <v>50</v>
      </c>
    </row>
    <row r="86" spans="1:16" x14ac:dyDescent="0.5">
      <c r="A86" t="s">
        <v>5</v>
      </c>
      <c r="B86" t="str">
        <f t="shared" si="15"/>
        <v>RNG40xERR55xARM50xTDP55</v>
      </c>
      <c r="C86">
        <v>40</v>
      </c>
      <c r="D86">
        <v>55</v>
      </c>
      <c r="E86">
        <v>50</v>
      </c>
      <c r="F86">
        <v>55</v>
      </c>
      <c r="G86">
        <v>100000</v>
      </c>
      <c r="H86" s="3">
        <v>49985</v>
      </c>
      <c r="I86" s="3">
        <f t="shared" si="14"/>
        <v>50015</v>
      </c>
      <c r="J86" s="3">
        <v>435642</v>
      </c>
      <c r="K86" s="3">
        <v>436419</v>
      </c>
      <c r="L86" s="9">
        <f t="shared" ref="L86:L129" si="21">H86/G86</f>
        <v>0.49985000000000002</v>
      </c>
      <c r="M86" s="5">
        <f t="shared" ref="M86:M129" si="22">J86/G86</f>
        <v>4.35642</v>
      </c>
      <c r="N86" s="5">
        <f t="shared" ref="N86:N129" si="23">K86/G86</f>
        <v>4.3641899999999998</v>
      </c>
      <c r="O86" s="5">
        <f t="shared" ref="O86:O129" si="24">(L86-$L$7)*162</f>
        <v>-0.26297999999999622</v>
      </c>
      <c r="P86" s="4">
        <f t="shared" ref="P86:P129" si="25">-(N86-$N$7)*162</f>
        <v>-3.927419999999902</v>
      </c>
    </row>
    <row r="87" spans="1:16" x14ac:dyDescent="0.5">
      <c r="A87" t="s">
        <v>5</v>
      </c>
      <c r="B87" t="str">
        <f t="shared" si="15"/>
        <v>RNG55xERR55xARM50xTDP55</v>
      </c>
      <c r="C87">
        <v>55</v>
      </c>
      <c r="D87">
        <v>55</v>
      </c>
      <c r="E87">
        <v>50</v>
      </c>
      <c r="F87">
        <v>55</v>
      </c>
      <c r="G87">
        <v>100000</v>
      </c>
      <c r="H87" s="3">
        <v>51016</v>
      </c>
      <c r="I87" s="3">
        <f t="shared" si="14"/>
        <v>48984</v>
      </c>
      <c r="J87" s="3">
        <v>435847</v>
      </c>
      <c r="K87" s="3">
        <v>426798</v>
      </c>
      <c r="L87" s="9">
        <f t="shared" si="21"/>
        <v>0.51015999999999995</v>
      </c>
      <c r="M87" s="5">
        <f t="shared" si="22"/>
        <v>4.3584699999999996</v>
      </c>
      <c r="N87" s="5">
        <f t="shared" si="23"/>
        <v>4.2679799999999997</v>
      </c>
      <c r="O87" s="5">
        <f t="shared" si="24"/>
        <v>1.4072399999999925</v>
      </c>
      <c r="P87" s="4">
        <f t="shared" si="25"/>
        <v>11.658600000000119</v>
      </c>
    </row>
    <row r="88" spans="1:16" x14ac:dyDescent="0.5">
      <c r="A88" t="s">
        <v>5</v>
      </c>
      <c r="B88" t="str">
        <f t="shared" si="15"/>
        <v>RNG60xERR55xARM50xTDP55</v>
      </c>
      <c r="C88">
        <v>60</v>
      </c>
      <c r="D88">
        <v>55</v>
      </c>
      <c r="E88">
        <v>50</v>
      </c>
      <c r="F88">
        <v>55</v>
      </c>
      <c r="G88">
        <v>100000</v>
      </c>
      <c r="H88" s="3">
        <v>50816</v>
      </c>
      <c r="I88" s="3">
        <f t="shared" si="14"/>
        <v>49184</v>
      </c>
      <c r="J88" s="3">
        <v>434030</v>
      </c>
      <c r="K88" s="3">
        <v>426670</v>
      </c>
      <c r="L88" s="9">
        <f t="shared" si="21"/>
        <v>0.50815999999999995</v>
      </c>
      <c r="M88" s="5">
        <f t="shared" si="22"/>
        <v>4.3403</v>
      </c>
      <c r="N88" s="5">
        <f t="shared" si="23"/>
        <v>4.2667000000000002</v>
      </c>
      <c r="O88" s="5">
        <f t="shared" si="24"/>
        <v>1.0832399999999922</v>
      </c>
      <c r="P88" s="4">
        <f t="shared" si="25"/>
        <v>11.865960000000038</v>
      </c>
    </row>
    <row r="89" spans="1:16" x14ac:dyDescent="0.5">
      <c r="A89" t="s">
        <v>5</v>
      </c>
      <c r="B89" t="str">
        <f t="shared" si="15"/>
        <v>RNG65xERR55xARM50xTDP55</v>
      </c>
      <c r="C89">
        <v>65</v>
      </c>
      <c r="D89">
        <v>55</v>
      </c>
      <c r="E89">
        <v>50</v>
      </c>
      <c r="F89">
        <v>55</v>
      </c>
      <c r="G89">
        <v>100000</v>
      </c>
      <c r="H89" s="3">
        <v>51001</v>
      </c>
      <c r="I89" s="3">
        <f t="shared" si="14"/>
        <v>48999</v>
      </c>
      <c r="J89" s="3">
        <v>433625</v>
      </c>
      <c r="K89" s="3">
        <v>425328</v>
      </c>
      <c r="L89" s="9">
        <f t="shared" si="21"/>
        <v>0.51000999999999996</v>
      </c>
      <c r="M89" s="5">
        <f t="shared" si="22"/>
        <v>4.3362499999999997</v>
      </c>
      <c r="N89" s="5">
        <f t="shared" si="23"/>
        <v>4.2532800000000002</v>
      </c>
      <c r="O89" s="5">
        <f t="shared" si="24"/>
        <v>1.3829399999999952</v>
      </c>
      <c r="P89" s="4">
        <f t="shared" si="25"/>
        <v>14.040000000000036</v>
      </c>
    </row>
    <row r="90" spans="1:16" x14ac:dyDescent="0.5">
      <c r="A90" t="s">
        <v>5</v>
      </c>
      <c r="B90" t="str">
        <f t="shared" si="15"/>
        <v>RNG70xERR55xARM50xTDP55</v>
      </c>
      <c r="C90">
        <v>70</v>
      </c>
      <c r="D90">
        <v>55</v>
      </c>
      <c r="E90">
        <v>50</v>
      </c>
      <c r="F90">
        <v>55</v>
      </c>
      <c r="G90">
        <v>100000</v>
      </c>
      <c r="H90" s="3">
        <v>50811</v>
      </c>
      <c r="I90" s="3">
        <f t="shared" si="14"/>
        <v>49189</v>
      </c>
      <c r="J90" s="3">
        <v>433670</v>
      </c>
      <c r="K90" s="3">
        <v>425315</v>
      </c>
      <c r="L90" s="9">
        <f t="shared" si="21"/>
        <v>0.50810999999999995</v>
      </c>
      <c r="M90" s="5">
        <f t="shared" si="22"/>
        <v>4.3367000000000004</v>
      </c>
      <c r="N90" s="5">
        <f t="shared" si="23"/>
        <v>4.2531499999999998</v>
      </c>
      <c r="O90" s="5">
        <f t="shared" si="24"/>
        <v>1.0751399999999931</v>
      </c>
      <c r="P90" s="4">
        <f t="shared" si="25"/>
        <v>14.061060000000102</v>
      </c>
    </row>
    <row r="91" spans="1:16" x14ac:dyDescent="0.5">
      <c r="A91" t="s">
        <v>5</v>
      </c>
      <c r="B91" t="str">
        <f t="shared" si="15"/>
        <v>RNG75xERR55xARM50xTDP55</v>
      </c>
      <c r="C91">
        <v>75</v>
      </c>
      <c r="D91">
        <v>55</v>
      </c>
      <c r="E91">
        <v>50</v>
      </c>
      <c r="F91">
        <v>55</v>
      </c>
      <c r="G91">
        <v>100000</v>
      </c>
      <c r="H91" s="3">
        <v>50715</v>
      </c>
      <c r="I91" s="3">
        <f t="shared" si="14"/>
        <v>49285</v>
      </c>
      <c r="J91" s="3">
        <v>434090</v>
      </c>
      <c r="K91" s="3">
        <v>425781</v>
      </c>
      <c r="L91" s="9">
        <f t="shared" si="21"/>
        <v>0.50714999999999999</v>
      </c>
      <c r="M91" s="5">
        <f t="shared" si="22"/>
        <v>4.3409000000000004</v>
      </c>
      <c r="N91" s="5">
        <f t="shared" si="23"/>
        <v>4.2578100000000001</v>
      </c>
      <c r="O91" s="5">
        <f t="shared" si="24"/>
        <v>0.91961999999999944</v>
      </c>
      <c r="P91" s="4">
        <f t="shared" si="25"/>
        <v>13.306140000000049</v>
      </c>
    </row>
    <row r="92" spans="1:16" x14ac:dyDescent="0.5">
      <c r="A92" t="s">
        <v>5</v>
      </c>
      <c r="B92" t="str">
        <f t="shared" si="15"/>
        <v>RNG50xERR40xARM50xTDP55</v>
      </c>
      <c r="C92">
        <v>50</v>
      </c>
      <c r="D92">
        <v>40</v>
      </c>
      <c r="E92">
        <v>50</v>
      </c>
      <c r="F92">
        <v>55</v>
      </c>
      <c r="G92">
        <v>100000</v>
      </c>
      <c r="H92" s="3">
        <v>49945</v>
      </c>
      <c r="I92" s="3">
        <f t="shared" si="14"/>
        <v>50055</v>
      </c>
      <c r="J92" s="3">
        <v>433834</v>
      </c>
      <c r="K92" s="3">
        <v>436366</v>
      </c>
      <c r="L92" s="9">
        <f t="shared" si="21"/>
        <v>0.49945000000000001</v>
      </c>
      <c r="M92" s="5">
        <f t="shared" si="22"/>
        <v>4.3383399999999996</v>
      </c>
      <c r="N92" s="5">
        <f t="shared" si="23"/>
        <v>4.3636600000000003</v>
      </c>
      <c r="O92" s="5">
        <f t="shared" si="24"/>
        <v>-0.32777999999999807</v>
      </c>
      <c r="P92" s="4">
        <f t="shared" si="25"/>
        <v>-3.841559999999987</v>
      </c>
    </row>
    <row r="93" spans="1:16" x14ac:dyDescent="0.5">
      <c r="A93" t="s">
        <v>5</v>
      </c>
      <c r="B93" t="str">
        <f t="shared" si="15"/>
        <v>RNG50xERR50xARM50xTDP55</v>
      </c>
      <c r="C93">
        <v>50</v>
      </c>
      <c r="D93">
        <v>50</v>
      </c>
      <c r="E93">
        <v>50</v>
      </c>
      <c r="F93">
        <v>55</v>
      </c>
      <c r="G93">
        <v>100000</v>
      </c>
      <c r="H93" s="3">
        <v>49931</v>
      </c>
      <c r="I93" s="3">
        <f t="shared" si="14"/>
        <v>50069</v>
      </c>
      <c r="J93" s="3">
        <v>435582</v>
      </c>
      <c r="K93" s="3">
        <v>435999</v>
      </c>
      <c r="L93" s="9">
        <f t="shared" si="21"/>
        <v>0.49930999999999998</v>
      </c>
      <c r="M93" s="5">
        <f t="shared" si="22"/>
        <v>4.3558199999999996</v>
      </c>
      <c r="N93" s="5">
        <f t="shared" si="23"/>
        <v>4.3599899999999998</v>
      </c>
      <c r="O93" s="5">
        <f t="shared" si="24"/>
        <v>-0.35046000000000277</v>
      </c>
      <c r="P93" s="4">
        <f t="shared" si="25"/>
        <v>-3.247019999999905</v>
      </c>
    </row>
    <row r="94" spans="1:16" x14ac:dyDescent="0.5">
      <c r="A94" t="s">
        <v>5</v>
      </c>
      <c r="B94" t="str">
        <f t="shared" si="15"/>
        <v>RNG50xERR60xARM50xTDP55</v>
      </c>
      <c r="C94">
        <v>50</v>
      </c>
      <c r="D94">
        <v>60</v>
      </c>
      <c r="E94">
        <v>50</v>
      </c>
      <c r="F94">
        <v>55</v>
      </c>
      <c r="G94">
        <v>100000</v>
      </c>
      <c r="H94" s="3">
        <v>49874</v>
      </c>
      <c r="I94" s="3">
        <f t="shared" si="14"/>
        <v>50126</v>
      </c>
      <c r="J94" s="3">
        <v>434162</v>
      </c>
      <c r="K94" s="3">
        <v>436235</v>
      </c>
      <c r="L94" s="9">
        <f t="shared" si="21"/>
        <v>0.49874000000000002</v>
      </c>
      <c r="M94" s="5">
        <f t="shared" si="22"/>
        <v>4.3416199999999998</v>
      </c>
      <c r="N94" s="5">
        <f t="shared" si="23"/>
        <v>4.3623500000000002</v>
      </c>
      <c r="O94" s="5">
        <f t="shared" si="24"/>
        <v>-0.4427999999999962</v>
      </c>
      <c r="P94" s="4">
        <f t="shared" si="25"/>
        <v>-3.6293399999999636</v>
      </c>
    </row>
    <row r="95" spans="1:16" x14ac:dyDescent="0.5">
      <c r="A95" t="s">
        <v>5</v>
      </c>
      <c r="B95" t="str">
        <f t="shared" si="15"/>
        <v>RNG50xERR70xARM50xTDP55</v>
      </c>
      <c r="C95">
        <v>50</v>
      </c>
      <c r="D95">
        <v>70</v>
      </c>
      <c r="E95">
        <v>50</v>
      </c>
      <c r="F95">
        <v>55</v>
      </c>
      <c r="G95">
        <v>100000</v>
      </c>
      <c r="H95" s="3">
        <v>49733</v>
      </c>
      <c r="I95" s="3">
        <f t="shared" si="14"/>
        <v>50267</v>
      </c>
      <c r="J95" s="3">
        <v>432856</v>
      </c>
      <c r="K95" s="3">
        <v>434752</v>
      </c>
      <c r="L95" s="9">
        <f t="shared" si="21"/>
        <v>0.49732999999999999</v>
      </c>
      <c r="M95" s="5">
        <f t="shared" si="22"/>
        <v>4.3285600000000004</v>
      </c>
      <c r="N95" s="5">
        <f t="shared" si="23"/>
        <v>4.3475200000000003</v>
      </c>
      <c r="O95" s="5">
        <f t="shared" si="24"/>
        <v>-0.67121999999999982</v>
      </c>
      <c r="P95" s="4">
        <f t="shared" si="25"/>
        <v>-1.22687999999998</v>
      </c>
    </row>
    <row r="96" spans="1:16" x14ac:dyDescent="0.5">
      <c r="A96" t="s">
        <v>5</v>
      </c>
      <c r="B96" t="str">
        <f t="shared" si="15"/>
        <v>RNG50xERR55xARM40xTDP55</v>
      </c>
      <c r="C96">
        <v>50</v>
      </c>
      <c r="D96">
        <v>55</v>
      </c>
      <c r="E96">
        <v>40</v>
      </c>
      <c r="F96">
        <v>55</v>
      </c>
      <c r="G96">
        <v>100000</v>
      </c>
      <c r="H96" s="3">
        <v>49943</v>
      </c>
      <c r="I96" s="3">
        <f t="shared" si="14"/>
        <v>50057</v>
      </c>
      <c r="J96" s="3">
        <v>435261</v>
      </c>
      <c r="K96" s="3">
        <v>437070</v>
      </c>
      <c r="L96" s="9">
        <f t="shared" si="21"/>
        <v>0.49942999999999999</v>
      </c>
      <c r="M96" s="5">
        <f t="shared" si="22"/>
        <v>4.3526100000000003</v>
      </c>
      <c r="N96" s="5">
        <f t="shared" si="23"/>
        <v>4.3707000000000003</v>
      </c>
      <c r="O96" s="5">
        <f t="shared" si="24"/>
        <v>-0.33102000000000131</v>
      </c>
      <c r="P96" s="4">
        <f t="shared" si="25"/>
        <v>-4.9820399999999765</v>
      </c>
    </row>
    <row r="97" spans="1:16" x14ac:dyDescent="0.5">
      <c r="A97" t="s">
        <v>5</v>
      </c>
      <c r="B97" t="str">
        <f t="shared" si="15"/>
        <v>RNG50xERR55xARM55xTDP55</v>
      </c>
      <c r="C97">
        <v>50</v>
      </c>
      <c r="D97">
        <v>55</v>
      </c>
      <c r="E97">
        <v>55</v>
      </c>
      <c r="F97">
        <v>55</v>
      </c>
      <c r="G97">
        <v>100000</v>
      </c>
      <c r="H97" s="3">
        <v>50094</v>
      </c>
      <c r="I97" s="3">
        <f t="shared" si="14"/>
        <v>49906</v>
      </c>
      <c r="J97" s="3">
        <v>434436</v>
      </c>
      <c r="K97" s="3">
        <v>433397</v>
      </c>
      <c r="L97" s="9">
        <f t="shared" si="21"/>
        <v>0.50094000000000005</v>
      </c>
      <c r="M97" s="5">
        <f t="shared" si="22"/>
        <v>4.34436</v>
      </c>
      <c r="N97" s="5">
        <f t="shared" si="23"/>
        <v>4.3339699999999999</v>
      </c>
      <c r="O97" s="5">
        <f t="shared" si="24"/>
        <v>-8.6399999999990484E-2</v>
      </c>
      <c r="P97" s="4">
        <f t="shared" si="25"/>
        <v>0.96822000000008401</v>
      </c>
    </row>
    <row r="98" spans="1:16" x14ac:dyDescent="0.5">
      <c r="A98" t="s">
        <v>5</v>
      </c>
      <c r="B98" t="str">
        <f t="shared" si="15"/>
        <v>RNG50xERR55xARM60xTDP55</v>
      </c>
      <c r="C98">
        <v>50</v>
      </c>
      <c r="D98">
        <v>55</v>
      </c>
      <c r="E98">
        <v>60</v>
      </c>
      <c r="F98">
        <v>55</v>
      </c>
      <c r="G98">
        <v>100000</v>
      </c>
      <c r="H98" s="3">
        <v>50229</v>
      </c>
      <c r="I98" s="3">
        <f t="shared" si="14"/>
        <v>49771</v>
      </c>
      <c r="J98" s="3">
        <v>435142</v>
      </c>
      <c r="K98" s="3">
        <v>432933</v>
      </c>
      <c r="L98" s="9">
        <f t="shared" si="21"/>
        <v>0.50229000000000001</v>
      </c>
      <c r="M98" s="5">
        <f t="shared" si="22"/>
        <v>4.3514200000000001</v>
      </c>
      <c r="N98" s="5">
        <f t="shared" si="23"/>
        <v>4.3293299999999997</v>
      </c>
      <c r="O98" s="5">
        <f t="shared" si="24"/>
        <v>0.13230000000000341</v>
      </c>
      <c r="P98" s="4">
        <f t="shared" si="25"/>
        <v>1.7199000000001163</v>
      </c>
    </row>
    <row r="99" spans="1:16" x14ac:dyDescent="0.5">
      <c r="A99" t="s">
        <v>5</v>
      </c>
      <c r="B99" t="str">
        <f t="shared" si="15"/>
        <v>RNG50xERR55xARM65xTDP55</v>
      </c>
      <c r="C99">
        <v>50</v>
      </c>
      <c r="D99">
        <v>55</v>
      </c>
      <c r="E99">
        <v>65</v>
      </c>
      <c r="F99">
        <v>55</v>
      </c>
      <c r="G99">
        <v>100000</v>
      </c>
      <c r="H99" s="3">
        <v>50403</v>
      </c>
      <c r="I99" s="3">
        <f t="shared" si="14"/>
        <v>49597</v>
      </c>
      <c r="J99" s="3">
        <v>434297</v>
      </c>
      <c r="K99" s="3">
        <v>431053</v>
      </c>
      <c r="L99" s="9">
        <f t="shared" si="21"/>
        <v>0.50402999999999998</v>
      </c>
      <c r="M99" s="5">
        <f t="shared" si="22"/>
        <v>4.3429700000000002</v>
      </c>
      <c r="N99" s="5">
        <f t="shared" si="23"/>
        <v>4.31053</v>
      </c>
      <c r="O99" s="5">
        <f t="shared" si="24"/>
        <v>0.41417999999999755</v>
      </c>
      <c r="P99" s="4">
        <f t="shared" si="25"/>
        <v>4.7655000000000687</v>
      </c>
    </row>
    <row r="100" spans="1:16" x14ac:dyDescent="0.5">
      <c r="A100" t="s">
        <v>5</v>
      </c>
      <c r="B100" t="str">
        <f t="shared" si="15"/>
        <v>RNG50xERR55xARM70xTDP55</v>
      </c>
      <c r="C100">
        <v>50</v>
      </c>
      <c r="D100">
        <v>55</v>
      </c>
      <c r="E100">
        <v>70</v>
      </c>
      <c r="F100">
        <v>55</v>
      </c>
      <c r="G100">
        <v>100000</v>
      </c>
      <c r="H100" s="3">
        <v>50691</v>
      </c>
      <c r="I100" s="3">
        <f t="shared" si="14"/>
        <v>49309</v>
      </c>
      <c r="J100" s="3">
        <v>434563</v>
      </c>
      <c r="K100" s="3">
        <v>428484</v>
      </c>
      <c r="L100" s="9">
        <f t="shared" si="21"/>
        <v>0.50690999999999997</v>
      </c>
      <c r="M100" s="5">
        <f t="shared" si="22"/>
        <v>4.3456299999999999</v>
      </c>
      <c r="N100" s="5">
        <f t="shared" si="23"/>
        <v>4.28484</v>
      </c>
      <c r="O100" s="5">
        <f t="shared" si="24"/>
        <v>0.88073999999999653</v>
      </c>
      <c r="P100" s="4">
        <f t="shared" si="25"/>
        <v>8.9272800000000672</v>
      </c>
    </row>
    <row r="101" spans="1:16" x14ac:dyDescent="0.5">
      <c r="A101" t="s">
        <v>5</v>
      </c>
      <c r="B101" t="str">
        <f t="shared" si="15"/>
        <v>RNG50xERR55xARM75xTDP55</v>
      </c>
      <c r="C101">
        <v>50</v>
      </c>
      <c r="D101">
        <v>55</v>
      </c>
      <c r="E101">
        <v>75</v>
      </c>
      <c r="F101">
        <v>55</v>
      </c>
      <c r="G101">
        <v>100000</v>
      </c>
      <c r="H101" s="3">
        <v>50485</v>
      </c>
      <c r="I101" s="3">
        <f t="shared" si="14"/>
        <v>49515</v>
      </c>
      <c r="J101" s="3">
        <v>434515</v>
      </c>
      <c r="K101" s="3">
        <v>429039</v>
      </c>
      <c r="L101" s="9">
        <f t="shared" si="21"/>
        <v>0.50485000000000002</v>
      </c>
      <c r="M101" s="5">
        <f t="shared" si="22"/>
        <v>4.3451500000000003</v>
      </c>
      <c r="N101" s="5">
        <f t="shared" si="23"/>
        <v>4.2903900000000004</v>
      </c>
      <c r="O101" s="5">
        <f t="shared" si="24"/>
        <v>0.5470200000000045</v>
      </c>
      <c r="P101" s="4">
        <f t="shared" si="25"/>
        <v>8.0281800000000043</v>
      </c>
    </row>
    <row r="102" spans="1:16" x14ac:dyDescent="0.5">
      <c r="A102" t="s">
        <v>5</v>
      </c>
      <c r="B102" t="str">
        <f t="shared" si="15"/>
        <v>RNG50xERR55xARM50xTDP55</v>
      </c>
      <c r="C102">
        <v>50</v>
      </c>
      <c r="D102">
        <v>55</v>
      </c>
      <c r="E102">
        <v>50</v>
      </c>
      <c r="F102">
        <v>55</v>
      </c>
      <c r="G102">
        <v>100000</v>
      </c>
      <c r="H102" s="3">
        <v>49245</v>
      </c>
      <c r="I102" s="3">
        <f t="shared" si="14"/>
        <v>50755</v>
      </c>
      <c r="J102" s="3">
        <v>433124</v>
      </c>
      <c r="K102" s="3">
        <v>439533</v>
      </c>
      <c r="L102" s="9">
        <f t="shared" si="21"/>
        <v>0.49245</v>
      </c>
      <c r="M102" s="5">
        <f t="shared" si="22"/>
        <v>4.3312400000000002</v>
      </c>
      <c r="N102" s="5">
        <f t="shared" si="23"/>
        <v>4.3953300000000004</v>
      </c>
      <c r="O102" s="5">
        <f t="shared" si="24"/>
        <v>-1.4617799999999992</v>
      </c>
      <c r="P102" s="4">
        <f t="shared" si="25"/>
        <v>-8.9721000000000011</v>
      </c>
    </row>
    <row r="103" spans="1:16" x14ac:dyDescent="0.5">
      <c r="A103" t="s">
        <v>5</v>
      </c>
      <c r="B103" t="str">
        <f t="shared" si="15"/>
        <v>RNG50xERR55xARM50xTDP50</v>
      </c>
      <c r="C103">
        <v>50</v>
      </c>
      <c r="D103">
        <v>55</v>
      </c>
      <c r="E103">
        <v>50</v>
      </c>
      <c r="F103">
        <v>50</v>
      </c>
      <c r="G103">
        <v>100000</v>
      </c>
      <c r="H103" s="3">
        <v>49844</v>
      </c>
      <c r="I103" s="3">
        <f t="shared" si="14"/>
        <v>50156</v>
      </c>
      <c r="J103" s="3">
        <v>433777</v>
      </c>
      <c r="K103" s="3">
        <v>436683</v>
      </c>
      <c r="L103" s="9">
        <f t="shared" si="21"/>
        <v>0.49843999999999999</v>
      </c>
      <c r="M103" s="5">
        <f t="shared" si="22"/>
        <v>4.3377699999999999</v>
      </c>
      <c r="N103" s="5">
        <f t="shared" si="23"/>
        <v>4.3668300000000002</v>
      </c>
      <c r="O103" s="5">
        <f t="shared" si="24"/>
        <v>-0.49139999999999984</v>
      </c>
      <c r="P103" s="4">
        <f t="shared" si="25"/>
        <v>-4.35509999999997</v>
      </c>
    </row>
    <row r="104" spans="1:16" x14ac:dyDescent="0.5">
      <c r="A104" t="s">
        <v>5</v>
      </c>
      <c r="B104" t="str">
        <f t="shared" si="15"/>
        <v>RNG50xERR55xARM50xTDP60</v>
      </c>
      <c r="C104">
        <v>50</v>
      </c>
      <c r="D104">
        <v>55</v>
      </c>
      <c r="E104">
        <v>50</v>
      </c>
      <c r="F104">
        <v>60</v>
      </c>
      <c r="G104">
        <v>100000</v>
      </c>
      <c r="H104" s="3">
        <v>50025</v>
      </c>
      <c r="I104" s="3">
        <f t="shared" si="14"/>
        <v>49975</v>
      </c>
      <c r="J104" s="3">
        <v>433597</v>
      </c>
      <c r="K104" s="3">
        <v>433782</v>
      </c>
      <c r="L104" s="9">
        <f t="shared" si="21"/>
        <v>0.50024999999999997</v>
      </c>
      <c r="M104" s="5">
        <f t="shared" si="22"/>
        <v>4.3359699999999997</v>
      </c>
      <c r="N104" s="5">
        <f t="shared" si="23"/>
        <v>4.3378199999999998</v>
      </c>
      <c r="O104" s="5">
        <f t="shared" si="24"/>
        <v>-0.19818000000000335</v>
      </c>
      <c r="P104" s="4">
        <f t="shared" si="25"/>
        <v>0.34452000000009875</v>
      </c>
    </row>
    <row r="105" spans="1:16" x14ac:dyDescent="0.5">
      <c r="A105" t="s">
        <v>5</v>
      </c>
      <c r="B105" t="str">
        <f t="shared" si="15"/>
        <v>RNG50xERR55xARM50xTDP70</v>
      </c>
      <c r="C105">
        <v>50</v>
      </c>
      <c r="D105">
        <v>55</v>
      </c>
      <c r="E105">
        <v>50</v>
      </c>
      <c r="F105">
        <v>70</v>
      </c>
      <c r="G105">
        <v>100000</v>
      </c>
      <c r="H105" s="3">
        <v>50228</v>
      </c>
      <c r="I105" s="3">
        <f t="shared" si="14"/>
        <v>49772</v>
      </c>
      <c r="J105" s="3">
        <v>433789</v>
      </c>
      <c r="K105" s="3">
        <v>429900</v>
      </c>
      <c r="L105" s="9">
        <f t="shared" si="21"/>
        <v>0.50227999999999995</v>
      </c>
      <c r="M105" s="5">
        <f t="shared" si="22"/>
        <v>4.3378899999999998</v>
      </c>
      <c r="N105" s="5">
        <f t="shared" si="23"/>
        <v>4.2990000000000004</v>
      </c>
      <c r="O105" s="5">
        <f t="shared" si="24"/>
        <v>0.1306799999999928</v>
      </c>
      <c r="P105" s="4">
        <f t="shared" si="25"/>
        <v>6.6333600000000033</v>
      </c>
    </row>
    <row r="106" spans="1:16" x14ac:dyDescent="0.5">
      <c r="A106" t="s">
        <v>5</v>
      </c>
      <c r="B106" t="str">
        <f t="shared" si="15"/>
        <v>RNG50xERR55xARM50xTDP75</v>
      </c>
      <c r="C106">
        <v>50</v>
      </c>
      <c r="D106">
        <v>55</v>
      </c>
      <c r="E106">
        <v>50</v>
      </c>
      <c r="F106">
        <v>75</v>
      </c>
      <c r="G106">
        <v>100000</v>
      </c>
      <c r="H106" s="3">
        <v>50010</v>
      </c>
      <c r="I106" s="3">
        <f t="shared" si="14"/>
        <v>49990</v>
      </c>
      <c r="J106" s="3">
        <v>432431</v>
      </c>
      <c r="K106" s="3">
        <v>431584</v>
      </c>
      <c r="L106" s="9">
        <f t="shared" si="21"/>
        <v>0.50009999999999999</v>
      </c>
      <c r="M106" s="5">
        <f t="shared" si="22"/>
        <v>4.3243099999999997</v>
      </c>
      <c r="N106" s="5">
        <f t="shared" si="23"/>
        <v>4.3158399999999997</v>
      </c>
      <c r="O106" s="5">
        <f t="shared" si="24"/>
        <v>-0.22248000000000068</v>
      </c>
      <c r="P106" s="4">
        <f t="shared" si="25"/>
        <v>3.9052800000001167</v>
      </c>
    </row>
    <row r="107" spans="1:16" x14ac:dyDescent="0.5">
      <c r="A107" t="s">
        <v>5</v>
      </c>
      <c r="B107" t="str">
        <f t="shared" si="15"/>
        <v>RNG70xERR55xARM70xTDP55</v>
      </c>
      <c r="C107">
        <v>70</v>
      </c>
      <c r="D107">
        <v>55</v>
      </c>
      <c r="E107">
        <v>70</v>
      </c>
      <c r="F107">
        <v>55</v>
      </c>
      <c r="G107">
        <v>100000</v>
      </c>
      <c r="H107" s="3">
        <v>50826</v>
      </c>
      <c r="I107" s="3">
        <f t="shared" si="14"/>
        <v>49174</v>
      </c>
      <c r="J107" s="3">
        <v>433503</v>
      </c>
      <c r="K107" s="3">
        <v>424832</v>
      </c>
      <c r="L107" s="9">
        <f t="shared" si="21"/>
        <v>0.50826000000000005</v>
      </c>
      <c r="M107" s="5">
        <f t="shared" si="22"/>
        <v>4.3350299999999997</v>
      </c>
      <c r="N107" s="5">
        <f t="shared" si="23"/>
        <v>4.2483199999999997</v>
      </c>
      <c r="O107" s="5">
        <f t="shared" si="24"/>
        <v>1.0994400000000084</v>
      </c>
      <c r="P107" s="4">
        <f t="shared" si="25"/>
        <v>14.843520000000121</v>
      </c>
    </row>
    <row r="108" spans="1:16" x14ac:dyDescent="0.5">
      <c r="A108" t="s">
        <v>5</v>
      </c>
      <c r="B108" t="str">
        <f t="shared" si="15"/>
        <v>RNG70xERR70xARM70xTDP70</v>
      </c>
      <c r="C108">
        <v>70</v>
      </c>
      <c r="D108">
        <v>70</v>
      </c>
      <c r="E108">
        <v>70</v>
      </c>
      <c r="F108">
        <v>70</v>
      </c>
      <c r="G108">
        <v>100000</v>
      </c>
      <c r="H108" s="3">
        <v>51407</v>
      </c>
      <c r="I108" s="3">
        <f t="shared" si="14"/>
        <v>48593</v>
      </c>
      <c r="J108" s="3">
        <v>434590</v>
      </c>
      <c r="K108" s="3">
        <v>419984</v>
      </c>
      <c r="L108" s="9">
        <f t="shared" si="21"/>
        <v>0.51407000000000003</v>
      </c>
      <c r="M108" s="5">
        <f t="shared" si="22"/>
        <v>4.3459000000000003</v>
      </c>
      <c r="N108" s="5">
        <f t="shared" si="23"/>
        <v>4.19984</v>
      </c>
      <c r="O108" s="5">
        <f t="shared" si="24"/>
        <v>2.0406600000000052</v>
      </c>
      <c r="P108" s="4">
        <f t="shared" si="25"/>
        <v>22.697280000000063</v>
      </c>
    </row>
    <row r="109" spans="1:16" x14ac:dyDescent="0.5">
      <c r="A109" t="s">
        <v>5</v>
      </c>
      <c r="B109" t="str">
        <f t="shared" si="15"/>
        <v>RNG70xERR55xARM70xTDP70</v>
      </c>
      <c r="C109">
        <v>70</v>
      </c>
      <c r="D109">
        <v>55</v>
      </c>
      <c r="E109">
        <v>70</v>
      </c>
      <c r="F109">
        <v>70</v>
      </c>
      <c r="G109">
        <v>100000</v>
      </c>
      <c r="H109" s="3">
        <v>51160</v>
      </c>
      <c r="I109" s="3">
        <f t="shared" si="14"/>
        <v>48840</v>
      </c>
      <c r="J109" s="3">
        <v>432994</v>
      </c>
      <c r="K109" s="3">
        <v>421375</v>
      </c>
      <c r="L109" s="9">
        <f t="shared" si="21"/>
        <v>0.51160000000000005</v>
      </c>
      <c r="M109" s="5">
        <f t="shared" si="22"/>
        <v>4.3299399999999997</v>
      </c>
      <c r="N109" s="5">
        <f t="shared" si="23"/>
        <v>4.2137500000000001</v>
      </c>
      <c r="O109" s="5">
        <f t="shared" si="24"/>
        <v>1.64052000000001</v>
      </c>
      <c r="P109" s="4">
        <f t="shared" si="25"/>
        <v>20.443860000000047</v>
      </c>
    </row>
    <row r="110" spans="1:16" x14ac:dyDescent="0.5">
      <c r="A110" t="s">
        <v>5</v>
      </c>
      <c r="B110" t="str">
        <f t="shared" si="15"/>
        <v>RNG70xERR55xARM50xTDP70</v>
      </c>
      <c r="C110">
        <v>70</v>
      </c>
      <c r="D110">
        <v>55</v>
      </c>
      <c r="E110">
        <v>50</v>
      </c>
      <c r="F110">
        <v>70</v>
      </c>
      <c r="G110">
        <v>100000</v>
      </c>
      <c r="H110" s="3">
        <v>51245</v>
      </c>
      <c r="I110" s="3">
        <f t="shared" si="14"/>
        <v>48755</v>
      </c>
      <c r="J110" s="3">
        <v>433712</v>
      </c>
      <c r="K110" s="3">
        <v>422293</v>
      </c>
      <c r="L110" s="9">
        <f t="shared" si="21"/>
        <v>0.51244999999999996</v>
      </c>
      <c r="M110" s="5">
        <f t="shared" si="22"/>
        <v>4.3371199999999996</v>
      </c>
      <c r="N110" s="5">
        <f t="shared" si="23"/>
        <v>4.2229299999999999</v>
      </c>
      <c r="O110" s="5">
        <f t="shared" si="24"/>
        <v>1.7782199999999948</v>
      </c>
      <c r="P110" s="4">
        <f t="shared" si="25"/>
        <v>18.95670000000009</v>
      </c>
    </row>
    <row r="111" spans="1:16" x14ac:dyDescent="0.5">
      <c r="A111" t="s">
        <v>5</v>
      </c>
      <c r="B111" t="str">
        <f t="shared" si="15"/>
        <v>RNG40xERR55xARM50xTDP40</v>
      </c>
      <c r="C111">
        <v>40</v>
      </c>
      <c r="D111">
        <v>55</v>
      </c>
      <c r="E111">
        <v>50</v>
      </c>
      <c r="F111">
        <v>40</v>
      </c>
      <c r="G111">
        <v>100000</v>
      </c>
      <c r="H111" s="3">
        <v>49457</v>
      </c>
      <c r="I111" s="3">
        <f t="shared" si="14"/>
        <v>50543</v>
      </c>
      <c r="J111" s="3">
        <v>435334</v>
      </c>
      <c r="K111" s="3">
        <v>441324</v>
      </c>
      <c r="L111" s="9">
        <f t="shared" si="21"/>
        <v>0.49457000000000001</v>
      </c>
      <c r="M111" s="5">
        <f t="shared" si="22"/>
        <v>4.3533400000000002</v>
      </c>
      <c r="N111" s="5">
        <f t="shared" si="23"/>
        <v>4.4132400000000001</v>
      </c>
      <c r="O111" s="5">
        <f t="shared" si="24"/>
        <v>-1.1183399999999972</v>
      </c>
      <c r="P111" s="4">
        <f t="shared" si="25"/>
        <v>-11.873519999999944</v>
      </c>
    </row>
    <row r="112" spans="1:16" x14ac:dyDescent="0.5">
      <c r="A112" t="s">
        <v>5</v>
      </c>
      <c r="B112" t="str">
        <f t="shared" si="15"/>
        <v>RNG50xERR55xARM70xTDP40</v>
      </c>
      <c r="C112">
        <v>50</v>
      </c>
      <c r="D112">
        <v>55</v>
      </c>
      <c r="E112">
        <v>70</v>
      </c>
      <c r="F112">
        <v>40</v>
      </c>
      <c r="G112">
        <v>100000</v>
      </c>
      <c r="H112" s="3">
        <v>49974</v>
      </c>
      <c r="I112" s="3">
        <f t="shared" si="14"/>
        <v>50026</v>
      </c>
      <c r="J112" s="3">
        <v>435186</v>
      </c>
      <c r="K112" s="3">
        <v>433638</v>
      </c>
      <c r="L112" s="9">
        <f t="shared" si="21"/>
        <v>0.49974000000000002</v>
      </c>
      <c r="M112" s="5">
        <f t="shared" si="22"/>
        <v>4.3518600000000003</v>
      </c>
      <c r="N112" s="5">
        <f t="shared" si="23"/>
        <v>4.3363800000000001</v>
      </c>
      <c r="O112" s="5">
        <f t="shared" si="24"/>
        <v>-0.28079999999999605</v>
      </c>
      <c r="P112" s="4">
        <f t="shared" si="25"/>
        <v>0.57780000000004428</v>
      </c>
    </row>
    <row r="113" spans="1:16" x14ac:dyDescent="0.5">
      <c r="A113" t="s">
        <v>5</v>
      </c>
      <c r="B113" t="str">
        <f t="shared" si="15"/>
        <v>RNG40xERR55xARM40xTDP55</v>
      </c>
      <c r="C113">
        <v>40</v>
      </c>
      <c r="D113">
        <v>55</v>
      </c>
      <c r="E113">
        <v>40</v>
      </c>
      <c r="F113">
        <v>55</v>
      </c>
      <c r="G113">
        <v>100000</v>
      </c>
      <c r="H113" s="3">
        <v>49673</v>
      </c>
      <c r="I113" s="3">
        <f t="shared" si="14"/>
        <v>50327</v>
      </c>
      <c r="J113" s="3">
        <v>434120</v>
      </c>
      <c r="K113" s="3">
        <v>437141</v>
      </c>
      <c r="L113" s="9">
        <f t="shared" si="21"/>
        <v>0.49673</v>
      </c>
      <c r="M113" s="5">
        <f t="shared" si="22"/>
        <v>4.3411999999999997</v>
      </c>
      <c r="N113" s="5">
        <f t="shared" si="23"/>
        <v>4.37141</v>
      </c>
      <c r="O113" s="5">
        <f t="shared" si="24"/>
        <v>-0.7684199999999981</v>
      </c>
      <c r="P113" s="4">
        <f t="shared" si="25"/>
        <v>-5.0970599999999386</v>
      </c>
    </row>
    <row r="114" spans="1:16" x14ac:dyDescent="0.5">
      <c r="A114" t="s">
        <v>5</v>
      </c>
      <c r="B114" t="str">
        <f t="shared" si="15"/>
        <v>RNG75xERR55xARM75xTDP55</v>
      </c>
      <c r="C114">
        <v>75</v>
      </c>
      <c r="D114">
        <v>55</v>
      </c>
      <c r="E114">
        <v>75</v>
      </c>
      <c r="F114">
        <v>55</v>
      </c>
      <c r="G114">
        <v>100000</v>
      </c>
      <c r="H114" s="3">
        <v>51050</v>
      </c>
      <c r="I114" s="3">
        <f t="shared" si="14"/>
        <v>48950</v>
      </c>
      <c r="J114" s="3">
        <v>434813</v>
      </c>
      <c r="K114" s="3">
        <v>424849</v>
      </c>
      <c r="L114" s="9">
        <f t="shared" si="21"/>
        <v>0.51049999999999995</v>
      </c>
      <c r="M114" s="5">
        <f t="shared" si="22"/>
        <v>4.3481300000000003</v>
      </c>
      <c r="N114" s="5">
        <f t="shared" si="23"/>
        <v>4.2484900000000003</v>
      </c>
      <c r="O114" s="5">
        <f t="shared" si="24"/>
        <v>1.4623199999999936</v>
      </c>
      <c r="P114" s="4">
        <f t="shared" si="25"/>
        <v>14.815980000000012</v>
      </c>
    </row>
    <row r="115" spans="1:16" x14ac:dyDescent="0.5">
      <c r="A115" t="s">
        <v>5</v>
      </c>
      <c r="B115" t="str">
        <f t="shared" si="15"/>
        <v>RNG55xERR55xARM40xTDP55</v>
      </c>
      <c r="C115">
        <v>55</v>
      </c>
      <c r="D115">
        <v>55</v>
      </c>
      <c r="E115">
        <v>40</v>
      </c>
      <c r="F115">
        <v>55</v>
      </c>
      <c r="G115">
        <v>100000</v>
      </c>
      <c r="H115" s="3">
        <v>50512</v>
      </c>
      <c r="I115" s="3">
        <f t="shared" si="14"/>
        <v>49488</v>
      </c>
      <c r="J115" s="3">
        <v>434251</v>
      </c>
      <c r="K115" s="3">
        <v>429973</v>
      </c>
      <c r="L115" s="9">
        <f t="shared" si="21"/>
        <v>0.50512000000000001</v>
      </c>
      <c r="M115" s="5">
        <f t="shared" si="22"/>
        <v>4.3425099999999999</v>
      </c>
      <c r="N115" s="5">
        <f t="shared" si="23"/>
        <v>4.2997300000000003</v>
      </c>
      <c r="O115" s="5">
        <f t="shared" si="24"/>
        <v>0.59076000000000328</v>
      </c>
      <c r="P115" s="4">
        <f t="shared" si="25"/>
        <v>6.5151000000000199</v>
      </c>
    </row>
    <row r="116" spans="1:16" x14ac:dyDescent="0.5">
      <c r="A116" t="s">
        <v>5</v>
      </c>
      <c r="B116" t="str">
        <f t="shared" si="15"/>
        <v>RNG55xERR55xARM70xTDP55</v>
      </c>
      <c r="C116">
        <v>55</v>
      </c>
      <c r="D116">
        <v>55</v>
      </c>
      <c r="E116">
        <v>70</v>
      </c>
      <c r="F116">
        <v>55</v>
      </c>
      <c r="G116">
        <v>100000</v>
      </c>
      <c r="H116" s="3">
        <v>50783</v>
      </c>
      <c r="I116" s="3">
        <f t="shared" si="14"/>
        <v>49217</v>
      </c>
      <c r="J116" s="3">
        <v>433681</v>
      </c>
      <c r="K116" s="3">
        <v>426694</v>
      </c>
      <c r="L116" s="9">
        <f t="shared" si="21"/>
        <v>0.50783</v>
      </c>
      <c r="M116" s="5">
        <f t="shared" si="22"/>
        <v>4.3368099999999998</v>
      </c>
      <c r="N116" s="5">
        <f t="shared" si="23"/>
        <v>4.26694</v>
      </c>
      <c r="O116" s="5">
        <f t="shared" si="24"/>
        <v>1.0297800000000017</v>
      </c>
      <c r="P116" s="4">
        <f t="shared" si="25"/>
        <v>11.827080000000072</v>
      </c>
    </row>
    <row r="117" spans="1:16" x14ac:dyDescent="0.5">
      <c r="A117" t="s">
        <v>5</v>
      </c>
      <c r="B117" t="str">
        <f t="shared" si="15"/>
        <v>RNG55xERR55xARM70xTDP55</v>
      </c>
      <c r="C117">
        <v>55</v>
      </c>
      <c r="D117">
        <v>55</v>
      </c>
      <c r="E117">
        <v>70</v>
      </c>
      <c r="F117">
        <v>55</v>
      </c>
      <c r="G117">
        <v>100000</v>
      </c>
      <c r="H117" s="3">
        <v>50823</v>
      </c>
      <c r="I117" s="3">
        <f t="shared" si="14"/>
        <v>49177</v>
      </c>
      <c r="J117" s="3">
        <v>435130</v>
      </c>
      <c r="K117" s="3">
        <v>426591</v>
      </c>
      <c r="L117" s="9">
        <f t="shared" si="21"/>
        <v>0.50822999999999996</v>
      </c>
      <c r="M117" s="5">
        <f t="shared" si="22"/>
        <v>4.3513000000000002</v>
      </c>
      <c r="N117" s="5">
        <f t="shared" si="23"/>
        <v>4.2659099999999999</v>
      </c>
      <c r="O117" s="5">
        <f t="shared" si="24"/>
        <v>1.0945799999999946</v>
      </c>
      <c r="P117" s="4">
        <f t="shared" si="25"/>
        <v>11.993940000000086</v>
      </c>
    </row>
    <row r="118" spans="1:16" x14ac:dyDescent="0.5">
      <c r="A118" t="s">
        <v>5</v>
      </c>
      <c r="B118" t="str">
        <f t="shared" si="15"/>
        <v>RNG55xERR55xARM75xTDP55</v>
      </c>
      <c r="C118">
        <v>55</v>
      </c>
      <c r="D118">
        <v>55</v>
      </c>
      <c r="E118">
        <v>75</v>
      </c>
      <c r="F118">
        <v>55</v>
      </c>
      <c r="G118">
        <v>100000</v>
      </c>
      <c r="H118" s="3">
        <v>51209</v>
      </c>
      <c r="I118" s="3">
        <f t="shared" si="14"/>
        <v>48791</v>
      </c>
      <c r="J118" s="3">
        <v>435219</v>
      </c>
      <c r="K118" s="3">
        <v>424950</v>
      </c>
      <c r="L118" s="9">
        <f t="shared" si="21"/>
        <v>0.51209000000000005</v>
      </c>
      <c r="M118" s="5">
        <f t="shared" si="22"/>
        <v>4.3521900000000002</v>
      </c>
      <c r="N118" s="5">
        <f t="shared" si="23"/>
        <v>4.2495000000000003</v>
      </c>
      <c r="O118" s="5">
        <f t="shared" si="24"/>
        <v>1.7199000000000084</v>
      </c>
      <c r="P118" s="4">
        <f t="shared" si="25"/>
        <v>14.652360000000019</v>
      </c>
    </row>
    <row r="119" spans="1:16" x14ac:dyDescent="0.5">
      <c r="A119" t="s">
        <v>5</v>
      </c>
      <c r="B119" t="str">
        <f t="shared" si="15"/>
        <v>RNG60xERR55xARM70xTDP55</v>
      </c>
      <c r="C119">
        <v>60</v>
      </c>
      <c r="D119">
        <v>55</v>
      </c>
      <c r="E119">
        <v>70</v>
      </c>
      <c r="F119">
        <v>55</v>
      </c>
      <c r="G119">
        <v>100000</v>
      </c>
      <c r="H119" s="3">
        <v>50876</v>
      </c>
      <c r="I119" s="3">
        <f t="shared" si="14"/>
        <v>49124</v>
      </c>
      <c r="J119" s="3">
        <v>433793</v>
      </c>
      <c r="K119" s="3">
        <v>425035</v>
      </c>
      <c r="L119" s="9">
        <f t="shared" si="21"/>
        <v>0.50875999999999999</v>
      </c>
      <c r="M119" s="5">
        <f t="shared" si="22"/>
        <v>4.3379300000000001</v>
      </c>
      <c r="N119" s="5">
        <f t="shared" si="23"/>
        <v>4.2503500000000001</v>
      </c>
      <c r="O119" s="5">
        <f t="shared" si="24"/>
        <v>1.1804399999999995</v>
      </c>
      <c r="P119" s="4">
        <f t="shared" si="25"/>
        <v>14.514660000000053</v>
      </c>
    </row>
    <row r="120" spans="1:16" x14ac:dyDescent="0.5">
      <c r="A120" t="s">
        <v>5</v>
      </c>
      <c r="B120" t="str">
        <f t="shared" si="15"/>
        <v>RNG60xERR55xARM75xTDP55</v>
      </c>
      <c r="C120">
        <v>60</v>
      </c>
      <c r="D120">
        <v>55</v>
      </c>
      <c r="E120">
        <v>75</v>
      </c>
      <c r="F120">
        <v>55</v>
      </c>
      <c r="G120">
        <v>100000</v>
      </c>
      <c r="H120" s="3">
        <v>50988</v>
      </c>
      <c r="I120" s="3">
        <f t="shared" si="14"/>
        <v>49012</v>
      </c>
      <c r="J120" s="3">
        <v>434762</v>
      </c>
      <c r="K120" s="3">
        <v>425178</v>
      </c>
      <c r="L120" s="9">
        <f t="shared" si="21"/>
        <v>0.50988</v>
      </c>
      <c r="M120" s="5">
        <f t="shared" si="22"/>
        <v>4.34762</v>
      </c>
      <c r="N120" s="5">
        <f t="shared" si="23"/>
        <v>4.2517800000000001</v>
      </c>
      <c r="O120" s="5">
        <f t="shared" si="24"/>
        <v>1.3618800000000011</v>
      </c>
      <c r="P120" s="4">
        <f t="shared" si="25"/>
        <v>14.283000000000046</v>
      </c>
    </row>
    <row r="121" spans="1:16" x14ac:dyDescent="0.5">
      <c r="A121" t="s">
        <v>5</v>
      </c>
      <c r="B121" t="str">
        <f t="shared" si="15"/>
        <v>RNG45xERR55xARM40xTDP55</v>
      </c>
      <c r="C121">
        <v>45</v>
      </c>
      <c r="D121">
        <v>55</v>
      </c>
      <c r="E121">
        <v>40</v>
      </c>
      <c r="F121">
        <v>55</v>
      </c>
      <c r="G121">
        <v>100000</v>
      </c>
      <c r="H121" s="3">
        <v>49795</v>
      </c>
      <c r="I121" s="3">
        <f t="shared" si="14"/>
        <v>50205</v>
      </c>
      <c r="J121" s="3">
        <v>433631</v>
      </c>
      <c r="K121" s="3">
        <v>435884</v>
      </c>
      <c r="L121" s="9">
        <f t="shared" si="21"/>
        <v>0.49795</v>
      </c>
      <c r="M121" s="5">
        <f t="shared" si="22"/>
        <v>4.3363100000000001</v>
      </c>
      <c r="N121" s="5">
        <f t="shared" si="23"/>
        <v>4.3588399999999998</v>
      </c>
      <c r="O121" s="5">
        <f t="shared" si="24"/>
        <v>-0.57077999999999829</v>
      </c>
      <c r="P121" s="4">
        <f t="shared" si="25"/>
        <v>-3.0607199999999075</v>
      </c>
    </row>
    <row r="122" spans="1:16" x14ac:dyDescent="0.5">
      <c r="A122" t="s">
        <v>5</v>
      </c>
      <c r="B122" t="str">
        <f t="shared" si="15"/>
        <v>RNG45xERR55xARM70xTDP55</v>
      </c>
      <c r="C122">
        <v>45</v>
      </c>
      <c r="D122">
        <v>55</v>
      </c>
      <c r="E122">
        <v>70</v>
      </c>
      <c r="F122">
        <v>55</v>
      </c>
      <c r="G122">
        <v>100000</v>
      </c>
      <c r="H122" s="3">
        <v>49903</v>
      </c>
      <c r="I122" s="3">
        <f t="shared" si="14"/>
        <v>50097</v>
      </c>
      <c r="J122" s="3">
        <v>434140</v>
      </c>
      <c r="K122" s="3">
        <v>435346</v>
      </c>
      <c r="L122" s="9">
        <f t="shared" si="21"/>
        <v>0.49902999999999997</v>
      </c>
      <c r="M122" s="5">
        <f t="shared" si="22"/>
        <v>4.3414000000000001</v>
      </c>
      <c r="N122" s="5">
        <f t="shared" si="23"/>
        <v>4.3534600000000001</v>
      </c>
      <c r="O122" s="5">
        <f t="shared" si="24"/>
        <v>-0.39582000000000317</v>
      </c>
      <c r="P122" s="4">
        <f t="shared" si="25"/>
        <v>-2.1891599999999531</v>
      </c>
    </row>
    <row r="123" spans="1:16" x14ac:dyDescent="0.5">
      <c r="A123" t="s">
        <v>5</v>
      </c>
      <c r="B123" t="str">
        <f t="shared" si="15"/>
        <v>RNG70xERR40xARM50xTDP55</v>
      </c>
      <c r="C123">
        <v>70</v>
      </c>
      <c r="D123">
        <v>40</v>
      </c>
      <c r="E123">
        <v>50</v>
      </c>
      <c r="F123">
        <v>55</v>
      </c>
      <c r="G123">
        <v>100000</v>
      </c>
      <c r="H123" s="3">
        <v>50642</v>
      </c>
      <c r="I123" s="3">
        <f t="shared" si="14"/>
        <v>49358</v>
      </c>
      <c r="J123" s="3">
        <v>434136</v>
      </c>
      <c r="K123" s="3">
        <v>426714</v>
      </c>
      <c r="L123" s="9">
        <f t="shared" si="21"/>
        <v>0.50641999999999998</v>
      </c>
      <c r="M123" s="5">
        <f t="shared" si="22"/>
        <v>4.3413599999999999</v>
      </c>
      <c r="N123" s="5">
        <f t="shared" si="23"/>
        <v>4.2671400000000004</v>
      </c>
      <c r="O123" s="5">
        <f t="shared" si="24"/>
        <v>0.80135999999999807</v>
      </c>
      <c r="P123" s="4">
        <f t="shared" si="25"/>
        <v>11.794680000000003</v>
      </c>
    </row>
    <row r="124" spans="1:16" x14ac:dyDescent="0.5">
      <c r="A124" t="s">
        <v>5</v>
      </c>
      <c r="B124" t="str">
        <f t="shared" si="15"/>
        <v>RNG70xERR70xARM50xTDP55</v>
      </c>
      <c r="C124">
        <v>70</v>
      </c>
      <c r="D124">
        <v>70</v>
      </c>
      <c r="E124">
        <v>50</v>
      </c>
      <c r="F124">
        <v>55</v>
      </c>
      <c r="G124">
        <v>100000</v>
      </c>
      <c r="H124" s="3">
        <v>51045</v>
      </c>
      <c r="I124" s="3">
        <f t="shared" si="14"/>
        <v>48955</v>
      </c>
      <c r="J124" s="3">
        <v>433536</v>
      </c>
      <c r="K124" s="3">
        <v>424393</v>
      </c>
      <c r="L124" s="9">
        <f t="shared" si="21"/>
        <v>0.51044999999999996</v>
      </c>
      <c r="M124" s="5">
        <f t="shared" si="22"/>
        <v>4.3353599999999997</v>
      </c>
      <c r="N124" s="5">
        <f t="shared" si="23"/>
        <v>4.2439299999999998</v>
      </c>
      <c r="O124" s="5">
        <f t="shared" si="24"/>
        <v>1.4542199999999945</v>
      </c>
      <c r="P124" s="4">
        <f t="shared" si="25"/>
        <v>15.554700000000103</v>
      </c>
    </row>
    <row r="125" spans="1:16" x14ac:dyDescent="0.5">
      <c r="A125" t="s">
        <v>5</v>
      </c>
      <c r="B125" t="str">
        <f t="shared" si="15"/>
        <v>RNG55xERR70xARM50xTDP55</v>
      </c>
      <c r="C125">
        <v>55</v>
      </c>
      <c r="D125">
        <v>70</v>
      </c>
      <c r="E125">
        <v>50</v>
      </c>
      <c r="F125">
        <v>55</v>
      </c>
      <c r="G125">
        <v>100000</v>
      </c>
      <c r="H125" s="3">
        <v>51115</v>
      </c>
      <c r="I125" s="3">
        <f t="shared" si="14"/>
        <v>48885</v>
      </c>
      <c r="J125" s="3">
        <v>435380</v>
      </c>
      <c r="K125" s="3">
        <v>425400</v>
      </c>
      <c r="L125" s="9">
        <f t="shared" si="21"/>
        <v>0.51114999999999999</v>
      </c>
      <c r="M125" s="5">
        <f t="shared" si="22"/>
        <v>4.3537999999999997</v>
      </c>
      <c r="N125" s="5">
        <f t="shared" si="23"/>
        <v>4.2539999999999996</v>
      </c>
      <c r="O125" s="5">
        <f t="shared" si="24"/>
        <v>1.56762</v>
      </c>
      <c r="P125" s="4">
        <f t="shared" si="25"/>
        <v>13.923360000000136</v>
      </c>
    </row>
    <row r="126" spans="1:16" x14ac:dyDescent="0.5">
      <c r="A126" t="s">
        <v>5</v>
      </c>
      <c r="B126" t="str">
        <f t="shared" si="15"/>
        <v>RNG55xERR55xARM50xTDP70</v>
      </c>
      <c r="C126">
        <v>55</v>
      </c>
      <c r="D126">
        <v>55</v>
      </c>
      <c r="E126">
        <v>50</v>
      </c>
      <c r="F126">
        <v>70</v>
      </c>
      <c r="G126">
        <v>100000</v>
      </c>
      <c r="H126" s="3">
        <v>51020</v>
      </c>
      <c r="I126" s="3">
        <f t="shared" si="14"/>
        <v>48980</v>
      </c>
      <c r="J126" s="3">
        <v>434618</v>
      </c>
      <c r="K126" s="3">
        <v>423450</v>
      </c>
      <c r="L126" s="9">
        <f t="shared" si="21"/>
        <v>0.51019999999999999</v>
      </c>
      <c r="M126" s="5">
        <f t="shared" si="22"/>
        <v>4.3461800000000004</v>
      </c>
      <c r="N126" s="5">
        <f t="shared" si="23"/>
        <v>4.2344999999999997</v>
      </c>
      <c r="O126" s="5">
        <f t="shared" si="24"/>
        <v>1.413719999999999</v>
      </c>
      <c r="P126" s="4">
        <f t="shared" si="25"/>
        <v>17.082360000000111</v>
      </c>
    </row>
    <row r="127" spans="1:16" x14ac:dyDescent="0.5">
      <c r="A127" t="s">
        <v>5</v>
      </c>
      <c r="B127" t="str">
        <f t="shared" si="15"/>
        <v>RNG50xERR55xARM70xTDP70</v>
      </c>
      <c r="C127">
        <v>50</v>
      </c>
      <c r="D127">
        <v>55</v>
      </c>
      <c r="E127">
        <v>70</v>
      </c>
      <c r="F127">
        <v>70</v>
      </c>
      <c r="G127">
        <v>100000</v>
      </c>
      <c r="H127" s="3">
        <v>50436</v>
      </c>
      <c r="I127" s="3">
        <f t="shared" si="14"/>
        <v>49564</v>
      </c>
      <c r="J127" s="3">
        <v>434527</v>
      </c>
      <c r="K127" s="3">
        <v>429507</v>
      </c>
      <c r="L127" s="9">
        <f t="shared" si="21"/>
        <v>0.50436000000000003</v>
      </c>
      <c r="M127" s="5">
        <f t="shared" si="22"/>
        <v>4.3452700000000002</v>
      </c>
      <c r="N127" s="5">
        <f t="shared" si="23"/>
        <v>4.2950699999999999</v>
      </c>
      <c r="O127" s="5">
        <f t="shared" si="24"/>
        <v>0.46764000000000605</v>
      </c>
      <c r="P127" s="4">
        <f t="shared" si="25"/>
        <v>7.2700200000000734</v>
      </c>
    </row>
    <row r="128" spans="1:16" x14ac:dyDescent="0.5">
      <c r="A128" t="s">
        <v>5</v>
      </c>
      <c r="B128" t="str">
        <f t="shared" si="15"/>
        <v>RNG50xERR55xARM40xTDP70</v>
      </c>
      <c r="C128">
        <v>50</v>
      </c>
      <c r="D128">
        <v>55</v>
      </c>
      <c r="E128">
        <v>40</v>
      </c>
      <c r="F128">
        <v>70</v>
      </c>
      <c r="G128">
        <v>100000</v>
      </c>
      <c r="H128" s="3">
        <v>50099</v>
      </c>
      <c r="I128" s="3">
        <f t="shared" si="14"/>
        <v>49901</v>
      </c>
      <c r="J128" s="3">
        <v>433653</v>
      </c>
      <c r="K128" s="3">
        <v>433793</v>
      </c>
      <c r="L128" s="9">
        <f t="shared" si="21"/>
        <v>0.50099000000000005</v>
      </c>
      <c r="M128" s="5">
        <f t="shared" si="22"/>
        <v>4.3365299999999998</v>
      </c>
      <c r="N128" s="5">
        <f t="shared" si="23"/>
        <v>4.3379300000000001</v>
      </c>
      <c r="O128" s="5">
        <f t="shared" si="24"/>
        <v>-7.8299999999991376E-2</v>
      </c>
      <c r="P128" s="4">
        <f t="shared" si="25"/>
        <v>0.32670000000005395</v>
      </c>
    </row>
    <row r="129" spans="1:16" x14ac:dyDescent="0.5">
      <c r="A129" t="s">
        <v>5</v>
      </c>
      <c r="B129" t="str">
        <f t="shared" si="15"/>
        <v>RNG50xERR55xARM40xTDP40</v>
      </c>
      <c r="C129">
        <v>50</v>
      </c>
      <c r="D129">
        <v>55</v>
      </c>
      <c r="E129">
        <v>40</v>
      </c>
      <c r="F129">
        <v>40</v>
      </c>
      <c r="G129">
        <v>100000</v>
      </c>
      <c r="H129" s="3">
        <v>49410</v>
      </c>
      <c r="I129" s="3">
        <f t="shared" si="14"/>
        <v>50590</v>
      </c>
      <c r="J129" s="3">
        <v>434086</v>
      </c>
      <c r="K129" s="3">
        <v>441178</v>
      </c>
      <c r="L129" s="9">
        <f t="shared" si="21"/>
        <v>0.49409999999999998</v>
      </c>
      <c r="M129" s="5">
        <f t="shared" si="22"/>
        <v>4.3408600000000002</v>
      </c>
      <c r="N129" s="5">
        <f t="shared" si="23"/>
        <v>4.4117800000000003</v>
      </c>
      <c r="O129" s="5">
        <f t="shared" si="24"/>
        <v>-1.1944800000000015</v>
      </c>
      <c r="P129" s="4">
        <f t="shared" si="25"/>
        <v>-11.636999999999977</v>
      </c>
    </row>
    <row r="130" spans="1:16" x14ac:dyDescent="0.5">
      <c r="A130" s="18" t="s">
        <v>6</v>
      </c>
      <c r="B130" s="18" t="s">
        <v>165</v>
      </c>
      <c r="C130" s="18">
        <v>55</v>
      </c>
      <c r="D130" s="18">
        <v>55</v>
      </c>
      <c r="E130" s="18">
        <v>55</v>
      </c>
      <c r="F130" s="18">
        <v>50</v>
      </c>
      <c r="G130" s="18">
        <v>100000</v>
      </c>
      <c r="H130" s="19">
        <v>50147.333333333336</v>
      </c>
      <c r="I130" s="19">
        <v>49852.666666666664</v>
      </c>
      <c r="J130" s="19">
        <v>434431.33333333331</v>
      </c>
      <c r="K130" s="19">
        <v>433994.66666666669</v>
      </c>
      <c r="L130" s="20">
        <v>0.50147333333333333</v>
      </c>
      <c r="M130" s="21">
        <v>4.344313333333333</v>
      </c>
      <c r="N130" s="21">
        <v>4.3399466666666671</v>
      </c>
      <c r="O130" s="21" t="s">
        <v>50</v>
      </c>
      <c r="P130" s="22" t="s">
        <v>50</v>
      </c>
    </row>
    <row r="131" spans="1:16" x14ac:dyDescent="0.5">
      <c r="A131" t="s">
        <v>6</v>
      </c>
      <c r="B131" t="str">
        <f t="shared" si="15"/>
        <v>RNG40xERR55xARM55xTDP50</v>
      </c>
      <c r="C131">
        <v>40</v>
      </c>
      <c r="D131">
        <v>55</v>
      </c>
      <c r="E131">
        <v>55</v>
      </c>
      <c r="F131">
        <v>50</v>
      </c>
      <c r="G131">
        <v>100000</v>
      </c>
      <c r="H131" s="3">
        <v>49841</v>
      </c>
      <c r="I131" s="3">
        <f t="shared" ref="I131:I194" si="26">G131-H131</f>
        <v>50159</v>
      </c>
      <c r="J131" s="3">
        <v>434378</v>
      </c>
      <c r="K131" s="3">
        <v>437341</v>
      </c>
      <c r="L131" s="9">
        <f t="shared" ref="L131:L172" si="27">H131/G131</f>
        <v>0.49841000000000002</v>
      </c>
      <c r="M131" s="5">
        <f t="shared" ref="M131:M155" si="28">J131/G131</f>
        <v>4.3437799999999998</v>
      </c>
      <c r="N131" s="5">
        <f t="shared" ref="N131:N155" si="29">K131/G131</f>
        <v>4.3734099999999998</v>
      </c>
      <c r="O131" s="5">
        <f t="shared" ref="O131:O155" si="30">(L131-$L$7)*162</f>
        <v>-0.4962599999999957</v>
      </c>
      <c r="P131" s="4">
        <f t="shared" ref="P131:P155" si="31">-(N131-$N$7)*162</f>
        <v>-5.421059999999903</v>
      </c>
    </row>
    <row r="132" spans="1:16" x14ac:dyDescent="0.5">
      <c r="A132" t="s">
        <v>6</v>
      </c>
      <c r="B132" t="str">
        <f t="shared" si="15"/>
        <v>RNG50xERR55xARM55xTDP50</v>
      </c>
      <c r="C132">
        <v>50</v>
      </c>
      <c r="D132">
        <v>55</v>
      </c>
      <c r="E132">
        <v>55</v>
      </c>
      <c r="F132">
        <v>50</v>
      </c>
      <c r="G132">
        <v>100000</v>
      </c>
      <c r="H132" s="3">
        <v>49723</v>
      </c>
      <c r="I132" s="3">
        <f t="shared" si="26"/>
        <v>50277</v>
      </c>
      <c r="J132" s="3">
        <v>434068</v>
      </c>
      <c r="K132" s="3">
        <v>437661</v>
      </c>
      <c r="L132" s="9">
        <f t="shared" si="27"/>
        <v>0.49723000000000001</v>
      </c>
      <c r="M132" s="5">
        <f t="shared" si="28"/>
        <v>4.3406799999999999</v>
      </c>
      <c r="N132" s="5">
        <f t="shared" si="29"/>
        <v>4.3766100000000003</v>
      </c>
      <c r="O132" s="5">
        <f t="shared" si="30"/>
        <v>-0.68741999999999803</v>
      </c>
      <c r="P132" s="4">
        <f t="shared" si="31"/>
        <v>-5.9394599999999897</v>
      </c>
    </row>
    <row r="133" spans="1:16" x14ac:dyDescent="0.5">
      <c r="A133" t="s">
        <v>6</v>
      </c>
      <c r="B133" t="str">
        <f t="shared" si="15"/>
        <v>RNG60xERR55xARM55xTDP50</v>
      </c>
      <c r="C133">
        <v>60</v>
      </c>
      <c r="D133">
        <v>55</v>
      </c>
      <c r="E133">
        <v>55</v>
      </c>
      <c r="F133">
        <v>50</v>
      </c>
      <c r="G133">
        <v>100000</v>
      </c>
      <c r="H133" s="3">
        <v>50509</v>
      </c>
      <c r="I133" s="3">
        <f t="shared" si="26"/>
        <v>49491</v>
      </c>
      <c r="J133" s="3">
        <v>433168</v>
      </c>
      <c r="K133" s="3">
        <v>429013</v>
      </c>
      <c r="L133" s="9">
        <f t="shared" si="27"/>
        <v>0.50509000000000004</v>
      </c>
      <c r="M133" s="5">
        <f t="shared" si="28"/>
        <v>4.3316800000000004</v>
      </c>
      <c r="N133" s="5">
        <f t="shared" si="29"/>
        <v>4.2901300000000004</v>
      </c>
      <c r="O133" s="5">
        <f t="shared" si="30"/>
        <v>0.58590000000000741</v>
      </c>
      <c r="P133" s="4">
        <f t="shared" si="31"/>
        <v>8.0702999999999925</v>
      </c>
    </row>
    <row r="134" spans="1:16" x14ac:dyDescent="0.5">
      <c r="A134" t="s">
        <v>6</v>
      </c>
      <c r="B134" t="str">
        <f t="shared" si="15"/>
        <v>RNG70xERR55xARM55xTDP50</v>
      </c>
      <c r="C134">
        <v>70</v>
      </c>
      <c r="D134">
        <v>55</v>
      </c>
      <c r="E134">
        <v>55</v>
      </c>
      <c r="F134">
        <v>50</v>
      </c>
      <c r="G134">
        <v>100000</v>
      </c>
      <c r="H134" s="3">
        <v>50958</v>
      </c>
      <c r="I134" s="3">
        <f t="shared" si="26"/>
        <v>49042</v>
      </c>
      <c r="J134" s="3">
        <v>434045</v>
      </c>
      <c r="K134" s="3">
        <v>425640</v>
      </c>
      <c r="L134" s="9">
        <f t="shared" si="27"/>
        <v>0.50958000000000003</v>
      </c>
      <c r="M134" s="5">
        <f t="shared" si="28"/>
        <v>4.3404499999999997</v>
      </c>
      <c r="N134" s="5">
        <f t="shared" si="29"/>
        <v>4.2564000000000002</v>
      </c>
      <c r="O134" s="5">
        <f t="shared" si="30"/>
        <v>1.3132800000000064</v>
      </c>
      <c r="P134" s="4">
        <f t="shared" si="31"/>
        <v>13.534560000000035</v>
      </c>
    </row>
    <row r="135" spans="1:16" x14ac:dyDescent="0.5">
      <c r="A135" t="s">
        <v>6</v>
      </c>
      <c r="B135" t="str">
        <f t="shared" si="15"/>
        <v>RNG75xERR55xARM55xTDP50</v>
      </c>
      <c r="C135">
        <v>75</v>
      </c>
      <c r="D135">
        <v>55</v>
      </c>
      <c r="E135">
        <v>55</v>
      </c>
      <c r="F135">
        <v>50</v>
      </c>
      <c r="G135">
        <v>100000</v>
      </c>
      <c r="H135" s="3">
        <v>50857</v>
      </c>
      <c r="I135" s="3">
        <f t="shared" si="26"/>
        <v>49143</v>
      </c>
      <c r="J135" s="3">
        <v>433144</v>
      </c>
      <c r="K135" s="3">
        <v>425103</v>
      </c>
      <c r="L135" s="9">
        <f t="shared" si="27"/>
        <v>0.50856999999999997</v>
      </c>
      <c r="M135" s="5">
        <f t="shared" si="28"/>
        <v>4.3314399999999997</v>
      </c>
      <c r="N135" s="5">
        <f t="shared" si="29"/>
        <v>4.2510300000000001</v>
      </c>
      <c r="O135" s="5">
        <f t="shared" si="30"/>
        <v>1.1496599999999957</v>
      </c>
      <c r="P135" s="4">
        <f t="shared" si="31"/>
        <v>14.40450000000005</v>
      </c>
    </row>
    <row r="136" spans="1:16" x14ac:dyDescent="0.5">
      <c r="A136" t="s">
        <v>6</v>
      </c>
      <c r="B136" t="str">
        <f t="shared" si="15"/>
        <v>RNG55xERR40xARM55xTDP50</v>
      </c>
      <c r="C136">
        <v>55</v>
      </c>
      <c r="D136">
        <v>40</v>
      </c>
      <c r="E136">
        <v>55</v>
      </c>
      <c r="F136">
        <v>50</v>
      </c>
      <c r="G136">
        <v>100000</v>
      </c>
      <c r="H136" s="3">
        <v>50006</v>
      </c>
      <c r="I136" s="3">
        <f t="shared" si="26"/>
        <v>49994</v>
      </c>
      <c r="J136" s="3">
        <v>435390</v>
      </c>
      <c r="K136" s="3">
        <v>436298</v>
      </c>
      <c r="L136" s="9">
        <f t="shared" si="27"/>
        <v>0.50005999999999995</v>
      </c>
      <c r="M136" s="5">
        <f t="shared" si="28"/>
        <v>4.3539000000000003</v>
      </c>
      <c r="N136" s="5">
        <f t="shared" si="29"/>
        <v>4.3629800000000003</v>
      </c>
      <c r="O136" s="5">
        <f t="shared" si="30"/>
        <v>-0.22896000000000716</v>
      </c>
      <c r="P136" s="4">
        <f t="shared" si="31"/>
        <v>-3.7313999999999847</v>
      </c>
    </row>
    <row r="137" spans="1:16" x14ac:dyDescent="0.5">
      <c r="A137" t="s">
        <v>6</v>
      </c>
      <c r="B137" t="str">
        <f t="shared" ref="B137:B153" si="32">_xlfn.CONCAT("RNG",C137,"xERR",D137,"xARM",E137,"xTDP",F137)</f>
        <v>RNG55xERR50xARM55xTDP50</v>
      </c>
      <c r="C137">
        <v>55</v>
      </c>
      <c r="D137">
        <v>50</v>
      </c>
      <c r="E137">
        <v>55</v>
      </c>
      <c r="F137">
        <v>50</v>
      </c>
      <c r="G137">
        <v>100000</v>
      </c>
      <c r="H137" s="3">
        <v>49615</v>
      </c>
      <c r="I137" s="3">
        <f t="shared" si="26"/>
        <v>50385</v>
      </c>
      <c r="J137" s="3">
        <v>434774</v>
      </c>
      <c r="K137" s="3">
        <v>436915</v>
      </c>
      <c r="L137" s="9">
        <f t="shared" si="27"/>
        <v>0.49614999999999998</v>
      </c>
      <c r="M137" s="5">
        <f t="shared" si="28"/>
        <v>4.3477399999999999</v>
      </c>
      <c r="N137" s="5">
        <f t="shared" si="29"/>
        <v>4.3691500000000003</v>
      </c>
      <c r="O137" s="5">
        <f t="shared" si="30"/>
        <v>-0.86238000000000214</v>
      </c>
      <c r="P137" s="4">
        <f t="shared" si="31"/>
        <v>-4.7309399999999862</v>
      </c>
    </row>
    <row r="138" spans="1:16" x14ac:dyDescent="0.5">
      <c r="A138" t="s">
        <v>6</v>
      </c>
      <c r="B138" t="str">
        <f t="shared" si="32"/>
        <v>RNG55xERR60xARM55xTDP50</v>
      </c>
      <c r="C138">
        <v>55</v>
      </c>
      <c r="D138">
        <v>60</v>
      </c>
      <c r="E138">
        <v>55</v>
      </c>
      <c r="F138">
        <v>50</v>
      </c>
      <c r="G138">
        <v>100000</v>
      </c>
      <c r="H138" s="3">
        <v>49770</v>
      </c>
      <c r="I138" s="3">
        <f t="shared" si="26"/>
        <v>50230</v>
      </c>
      <c r="J138" s="3">
        <v>432854</v>
      </c>
      <c r="K138" s="3">
        <v>435141</v>
      </c>
      <c r="L138" s="9">
        <f t="shared" si="27"/>
        <v>0.49769999999999998</v>
      </c>
      <c r="M138" s="5">
        <f t="shared" si="28"/>
        <v>4.3285400000000003</v>
      </c>
      <c r="N138" s="5">
        <f t="shared" si="29"/>
        <v>4.3514099999999996</v>
      </c>
      <c r="O138" s="5">
        <f t="shared" si="30"/>
        <v>-0.61128000000000282</v>
      </c>
      <c r="P138" s="4">
        <f t="shared" si="31"/>
        <v>-1.8570599999998638</v>
      </c>
    </row>
    <row r="139" spans="1:16" x14ac:dyDescent="0.5">
      <c r="A139" t="s">
        <v>6</v>
      </c>
      <c r="B139" t="str">
        <f t="shared" si="32"/>
        <v>RNG55xERR65xARM55xTDP50</v>
      </c>
      <c r="C139">
        <v>55</v>
      </c>
      <c r="D139">
        <v>65</v>
      </c>
      <c r="E139">
        <v>55</v>
      </c>
      <c r="F139">
        <v>50</v>
      </c>
      <c r="G139">
        <v>100000</v>
      </c>
      <c r="H139" s="3">
        <v>50310</v>
      </c>
      <c r="I139" s="3">
        <f t="shared" si="26"/>
        <v>49690</v>
      </c>
      <c r="J139" s="3">
        <v>435536</v>
      </c>
      <c r="K139" s="3">
        <v>433651</v>
      </c>
      <c r="L139" s="9">
        <f t="shared" si="27"/>
        <v>0.50309999999999999</v>
      </c>
      <c r="M139" s="5">
        <f t="shared" si="28"/>
        <v>4.3553600000000001</v>
      </c>
      <c r="N139" s="5">
        <f t="shared" si="29"/>
        <v>4.3365099999999996</v>
      </c>
      <c r="O139" s="5">
        <f t="shared" si="30"/>
        <v>0.26351999999999975</v>
      </c>
      <c r="P139" s="4">
        <f t="shared" si="31"/>
        <v>0.55674000000012214</v>
      </c>
    </row>
    <row r="140" spans="1:16" x14ac:dyDescent="0.5">
      <c r="A140" t="s">
        <v>6</v>
      </c>
      <c r="B140" t="str">
        <f t="shared" si="32"/>
        <v>RNG55xERR70xARM55xTDP50</v>
      </c>
      <c r="C140">
        <v>55</v>
      </c>
      <c r="D140">
        <v>70</v>
      </c>
      <c r="E140">
        <v>55</v>
      </c>
      <c r="F140">
        <v>50</v>
      </c>
      <c r="G140">
        <v>100000</v>
      </c>
      <c r="H140" s="3">
        <v>50119</v>
      </c>
      <c r="I140" s="3">
        <f t="shared" si="26"/>
        <v>49881</v>
      </c>
      <c r="J140" s="3">
        <v>434527</v>
      </c>
      <c r="K140" s="3">
        <v>432703</v>
      </c>
      <c r="L140" s="9">
        <f t="shared" si="27"/>
        <v>0.50119000000000002</v>
      </c>
      <c r="M140" s="5">
        <f t="shared" si="28"/>
        <v>4.3452700000000002</v>
      </c>
      <c r="N140" s="5">
        <f t="shared" si="29"/>
        <v>4.3270299999999997</v>
      </c>
      <c r="O140" s="5">
        <f t="shared" si="30"/>
        <v>-4.5899999999994945E-2</v>
      </c>
      <c r="P140" s="4">
        <f t="shared" si="31"/>
        <v>2.0925000000001113</v>
      </c>
    </row>
    <row r="141" spans="1:16" x14ac:dyDescent="0.5">
      <c r="A141" t="s">
        <v>6</v>
      </c>
      <c r="B141" t="str">
        <f t="shared" si="32"/>
        <v>RNG55xERR75xARM55xTDP50</v>
      </c>
      <c r="C141">
        <v>55</v>
      </c>
      <c r="D141">
        <v>75</v>
      </c>
      <c r="E141">
        <v>55</v>
      </c>
      <c r="F141">
        <v>50</v>
      </c>
      <c r="G141">
        <v>100000</v>
      </c>
      <c r="H141" s="3">
        <v>50350</v>
      </c>
      <c r="I141" s="3">
        <f t="shared" si="26"/>
        <v>49650</v>
      </c>
      <c r="J141" s="3">
        <v>433341</v>
      </c>
      <c r="K141" s="3">
        <v>431901</v>
      </c>
      <c r="L141" s="9">
        <f t="shared" si="27"/>
        <v>0.50349999999999995</v>
      </c>
      <c r="M141" s="5">
        <f t="shared" si="28"/>
        <v>4.3334099999999998</v>
      </c>
      <c r="N141" s="5">
        <f t="shared" si="29"/>
        <v>4.3190099999999996</v>
      </c>
      <c r="O141" s="5">
        <f t="shared" si="30"/>
        <v>0.32831999999999262</v>
      </c>
      <c r="P141" s="4">
        <f t="shared" si="31"/>
        <v>3.3917400000001336</v>
      </c>
    </row>
    <row r="142" spans="1:16" x14ac:dyDescent="0.5">
      <c r="A142" t="s">
        <v>6</v>
      </c>
      <c r="B142" t="str">
        <f t="shared" si="32"/>
        <v>RNG55xERR55xARM40xTDP50</v>
      </c>
      <c r="C142">
        <v>55</v>
      </c>
      <c r="D142">
        <v>55</v>
      </c>
      <c r="E142">
        <v>40</v>
      </c>
      <c r="F142">
        <v>50</v>
      </c>
      <c r="G142">
        <v>100000</v>
      </c>
      <c r="H142" s="3">
        <v>49638</v>
      </c>
      <c r="I142" s="3">
        <f t="shared" si="26"/>
        <v>50362</v>
      </c>
      <c r="J142" s="3">
        <v>436075</v>
      </c>
      <c r="K142" s="3">
        <v>440118</v>
      </c>
      <c r="L142" s="9">
        <f t="shared" si="27"/>
        <v>0.49637999999999999</v>
      </c>
      <c r="M142" s="5">
        <f t="shared" si="28"/>
        <v>4.3607500000000003</v>
      </c>
      <c r="N142" s="5">
        <f t="shared" si="29"/>
        <v>4.4011800000000001</v>
      </c>
      <c r="O142" s="5">
        <f t="shared" si="30"/>
        <v>-0.82512000000000085</v>
      </c>
      <c r="P142" s="4">
        <f t="shared" si="31"/>
        <v>-9.9197999999999507</v>
      </c>
    </row>
    <row r="143" spans="1:16" x14ac:dyDescent="0.5">
      <c r="A143" t="s">
        <v>6</v>
      </c>
      <c r="B143" t="str">
        <f t="shared" si="32"/>
        <v>RNG55xERR55xARM50xTDP50</v>
      </c>
      <c r="C143">
        <v>55</v>
      </c>
      <c r="D143">
        <v>55</v>
      </c>
      <c r="E143">
        <v>50</v>
      </c>
      <c r="F143">
        <v>50</v>
      </c>
      <c r="G143">
        <v>100000</v>
      </c>
      <c r="H143" s="3">
        <v>49578</v>
      </c>
      <c r="I143" s="3">
        <f t="shared" si="26"/>
        <v>50422</v>
      </c>
      <c r="J143" s="3">
        <v>432616</v>
      </c>
      <c r="K143" s="3">
        <v>437053</v>
      </c>
      <c r="L143" s="9">
        <f t="shared" si="27"/>
        <v>0.49578</v>
      </c>
      <c r="M143" s="5">
        <f t="shared" si="28"/>
        <v>4.3261599999999998</v>
      </c>
      <c r="N143" s="5">
        <f t="shared" si="29"/>
        <v>4.3705299999999996</v>
      </c>
      <c r="O143" s="5">
        <f t="shared" si="30"/>
        <v>-0.92231999999999914</v>
      </c>
      <c r="P143" s="4">
        <f t="shared" si="31"/>
        <v>-4.954499999999868</v>
      </c>
    </row>
    <row r="144" spans="1:16" x14ac:dyDescent="0.5">
      <c r="A144" t="s">
        <v>6</v>
      </c>
      <c r="B144" t="str">
        <f t="shared" si="32"/>
        <v>RNG55xERR55xARM60xTDP50</v>
      </c>
      <c r="C144">
        <v>55</v>
      </c>
      <c r="D144">
        <v>55</v>
      </c>
      <c r="E144">
        <v>60</v>
      </c>
      <c r="F144">
        <v>50</v>
      </c>
      <c r="G144">
        <v>100000</v>
      </c>
      <c r="H144" s="3">
        <v>50410</v>
      </c>
      <c r="I144" s="3">
        <f t="shared" si="26"/>
        <v>49590</v>
      </c>
      <c r="J144" s="3">
        <v>433774</v>
      </c>
      <c r="K144" s="3">
        <v>429569</v>
      </c>
      <c r="L144" s="9">
        <f t="shared" si="27"/>
        <v>0.50409999999999999</v>
      </c>
      <c r="M144" s="5">
        <f t="shared" si="28"/>
        <v>4.3377400000000002</v>
      </c>
      <c r="N144" s="5">
        <f t="shared" si="29"/>
        <v>4.2956899999999996</v>
      </c>
      <c r="O144" s="5">
        <f t="shared" si="30"/>
        <v>0.4255199999999999</v>
      </c>
      <c r="P144" s="4">
        <f t="shared" si="31"/>
        <v>7.1695800000001348</v>
      </c>
    </row>
    <row r="145" spans="1:16" x14ac:dyDescent="0.5">
      <c r="A145" t="s">
        <v>6</v>
      </c>
      <c r="B145" t="str">
        <f t="shared" si="32"/>
        <v>RNG55xERR55xARM70xTDP50</v>
      </c>
      <c r="C145">
        <v>55</v>
      </c>
      <c r="D145">
        <v>55</v>
      </c>
      <c r="E145">
        <v>70</v>
      </c>
      <c r="F145">
        <v>50</v>
      </c>
      <c r="G145">
        <v>100000</v>
      </c>
      <c r="H145" s="3">
        <v>50789</v>
      </c>
      <c r="I145" s="3">
        <f t="shared" si="26"/>
        <v>49211</v>
      </c>
      <c r="J145" s="3">
        <v>432893</v>
      </c>
      <c r="K145" s="3">
        <v>425774</v>
      </c>
      <c r="L145" s="9">
        <f t="shared" si="27"/>
        <v>0.50788999999999995</v>
      </c>
      <c r="M145" s="5">
        <f t="shared" si="28"/>
        <v>4.3289299999999997</v>
      </c>
      <c r="N145" s="5">
        <f t="shared" si="29"/>
        <v>4.2577400000000001</v>
      </c>
      <c r="O145" s="5">
        <f t="shared" si="30"/>
        <v>1.0394999999999934</v>
      </c>
      <c r="P145" s="4">
        <f t="shared" si="31"/>
        <v>13.317480000000051</v>
      </c>
    </row>
    <row r="146" spans="1:16" x14ac:dyDescent="0.5">
      <c r="A146" t="s">
        <v>6</v>
      </c>
      <c r="B146" t="str">
        <f t="shared" si="32"/>
        <v>RNG55xERR55xARM75xTDP50</v>
      </c>
      <c r="C146">
        <v>55</v>
      </c>
      <c r="D146">
        <v>55</v>
      </c>
      <c r="E146">
        <v>75</v>
      </c>
      <c r="F146">
        <v>50</v>
      </c>
      <c r="G146">
        <v>100000</v>
      </c>
      <c r="H146" s="3">
        <v>50711</v>
      </c>
      <c r="I146" s="3">
        <f t="shared" si="26"/>
        <v>49289</v>
      </c>
      <c r="J146" s="3">
        <v>433644</v>
      </c>
      <c r="K146" s="3">
        <v>425148</v>
      </c>
      <c r="L146" s="9">
        <f t="shared" si="27"/>
        <v>0.50710999999999995</v>
      </c>
      <c r="M146" s="5">
        <f t="shared" si="28"/>
        <v>4.3364399999999996</v>
      </c>
      <c r="N146" s="5">
        <f t="shared" si="29"/>
        <v>4.2514799999999999</v>
      </c>
      <c r="O146" s="5">
        <f t="shared" si="30"/>
        <v>0.91313999999999296</v>
      </c>
      <c r="P146" s="4">
        <f t="shared" si="31"/>
        <v>14.331600000000076</v>
      </c>
    </row>
    <row r="147" spans="1:16" x14ac:dyDescent="0.5">
      <c r="A147" t="s">
        <v>6</v>
      </c>
      <c r="B147" t="str">
        <f t="shared" si="32"/>
        <v>RNG55xERR55xARM55xTDP75</v>
      </c>
      <c r="C147">
        <v>55</v>
      </c>
      <c r="D147">
        <v>55</v>
      </c>
      <c r="E147">
        <v>55</v>
      </c>
      <c r="F147">
        <v>75</v>
      </c>
      <c r="G147">
        <v>100000</v>
      </c>
      <c r="H147" s="3">
        <v>50026</v>
      </c>
      <c r="I147" s="3">
        <f t="shared" si="26"/>
        <v>49974</v>
      </c>
      <c r="J147" s="3">
        <v>434271</v>
      </c>
      <c r="K147" s="3">
        <v>433883</v>
      </c>
      <c r="L147" s="9">
        <f t="shared" si="27"/>
        <v>0.50026000000000004</v>
      </c>
      <c r="M147" s="5">
        <f t="shared" si="28"/>
        <v>4.3427100000000003</v>
      </c>
      <c r="N147" s="5">
        <f t="shared" si="29"/>
        <v>4.3388299999999997</v>
      </c>
      <c r="O147" s="5">
        <f t="shared" si="30"/>
        <v>-0.19655999999999274</v>
      </c>
      <c r="P147" s="4">
        <f t="shared" si="31"/>
        <v>0.18090000000010598</v>
      </c>
    </row>
    <row r="148" spans="1:16" x14ac:dyDescent="0.5">
      <c r="A148" t="s">
        <v>6</v>
      </c>
      <c r="B148" t="str">
        <f t="shared" si="32"/>
        <v>RNG70xERR70xARM55xTDP50</v>
      </c>
      <c r="C148">
        <v>70</v>
      </c>
      <c r="D148">
        <v>70</v>
      </c>
      <c r="E148">
        <v>55</v>
      </c>
      <c r="F148">
        <v>50</v>
      </c>
      <c r="G148">
        <v>100000</v>
      </c>
      <c r="H148" s="3">
        <v>50871</v>
      </c>
      <c r="I148" s="3">
        <f t="shared" si="26"/>
        <v>49129</v>
      </c>
      <c r="J148" s="3">
        <v>433194</v>
      </c>
      <c r="K148" s="3">
        <v>424139</v>
      </c>
      <c r="L148" s="9">
        <f t="shared" si="27"/>
        <v>0.50871</v>
      </c>
      <c r="M148" s="5">
        <f t="shared" si="28"/>
        <v>4.3319400000000003</v>
      </c>
      <c r="N148" s="5">
        <f t="shared" si="29"/>
        <v>4.24139</v>
      </c>
      <c r="O148" s="5">
        <f t="shared" si="30"/>
        <v>1.1723400000000004</v>
      </c>
      <c r="P148" s="4">
        <f t="shared" si="31"/>
        <v>15.966180000000065</v>
      </c>
    </row>
    <row r="149" spans="1:16" x14ac:dyDescent="0.5">
      <c r="A149" t="s">
        <v>6</v>
      </c>
      <c r="B149" t="str">
        <f t="shared" si="32"/>
        <v>RNG70xERR55xARM70xTDP50</v>
      </c>
      <c r="C149">
        <v>70</v>
      </c>
      <c r="D149">
        <v>55</v>
      </c>
      <c r="E149">
        <v>70</v>
      </c>
      <c r="F149">
        <v>50</v>
      </c>
      <c r="G149">
        <v>100000</v>
      </c>
      <c r="H149" s="3">
        <v>50829</v>
      </c>
      <c r="I149" s="3">
        <f t="shared" si="26"/>
        <v>49171</v>
      </c>
      <c r="J149" s="3">
        <v>434495</v>
      </c>
      <c r="K149" s="3">
        <v>425892</v>
      </c>
      <c r="L149" s="9">
        <f t="shared" si="27"/>
        <v>0.50829000000000002</v>
      </c>
      <c r="M149" s="5">
        <f t="shared" si="28"/>
        <v>4.3449499999999999</v>
      </c>
      <c r="N149" s="5">
        <f t="shared" si="29"/>
        <v>4.2589199999999998</v>
      </c>
      <c r="O149" s="5">
        <f t="shared" si="30"/>
        <v>1.1043000000000043</v>
      </c>
      <c r="P149" s="4">
        <f t="shared" si="31"/>
        <v>13.126320000000094</v>
      </c>
    </row>
    <row r="150" spans="1:16" x14ac:dyDescent="0.5">
      <c r="A150" t="s">
        <v>6</v>
      </c>
      <c r="B150" t="str">
        <f t="shared" si="32"/>
        <v>RNG55xERR70xARM70xTDP50</v>
      </c>
      <c r="C150">
        <v>55</v>
      </c>
      <c r="D150">
        <v>70</v>
      </c>
      <c r="E150">
        <v>70</v>
      </c>
      <c r="F150">
        <v>50</v>
      </c>
      <c r="G150">
        <v>100000</v>
      </c>
      <c r="H150" s="3">
        <v>51063</v>
      </c>
      <c r="I150" s="3">
        <f t="shared" si="26"/>
        <v>48937</v>
      </c>
      <c r="J150" s="3">
        <v>434675</v>
      </c>
      <c r="K150" s="3">
        <v>424321</v>
      </c>
      <c r="L150" s="9">
        <f t="shared" si="27"/>
        <v>0.51063000000000003</v>
      </c>
      <c r="M150" s="5">
        <f t="shared" si="28"/>
        <v>4.3467500000000001</v>
      </c>
      <c r="N150" s="5">
        <f t="shared" si="29"/>
        <v>4.2432100000000004</v>
      </c>
      <c r="O150" s="5">
        <f t="shared" si="30"/>
        <v>1.4833800000000057</v>
      </c>
      <c r="P150" s="4">
        <f t="shared" si="31"/>
        <v>15.671340000000004</v>
      </c>
    </row>
    <row r="151" spans="1:16" x14ac:dyDescent="0.5">
      <c r="A151" t="s">
        <v>6</v>
      </c>
      <c r="B151" t="str">
        <f t="shared" si="32"/>
        <v>RNG60xERR65xARM70xTDP50</v>
      </c>
      <c r="C151">
        <v>60</v>
      </c>
      <c r="D151">
        <v>65</v>
      </c>
      <c r="E151">
        <v>70</v>
      </c>
      <c r="F151">
        <v>50</v>
      </c>
      <c r="G151">
        <v>100000</v>
      </c>
      <c r="H151" s="3">
        <v>50911</v>
      </c>
      <c r="I151" s="3">
        <f t="shared" si="26"/>
        <v>49089</v>
      </c>
      <c r="J151" s="3">
        <v>433869</v>
      </c>
      <c r="K151" s="3">
        <v>423964</v>
      </c>
      <c r="L151" s="9">
        <f t="shared" si="27"/>
        <v>0.50910999999999995</v>
      </c>
      <c r="M151" s="5">
        <f t="shared" si="28"/>
        <v>4.3386899999999997</v>
      </c>
      <c r="N151" s="5">
        <f t="shared" si="29"/>
        <v>4.2396399999999996</v>
      </c>
      <c r="O151" s="5">
        <f t="shared" si="30"/>
        <v>1.2371399999999932</v>
      </c>
      <c r="P151" s="4">
        <f t="shared" si="31"/>
        <v>16.249680000000126</v>
      </c>
    </row>
    <row r="152" spans="1:16" x14ac:dyDescent="0.5">
      <c r="A152" t="s">
        <v>6</v>
      </c>
      <c r="B152" t="str">
        <f t="shared" si="32"/>
        <v>RNG60xERR55xARM70xTDP50</v>
      </c>
      <c r="C152">
        <v>60</v>
      </c>
      <c r="D152">
        <v>55</v>
      </c>
      <c r="E152">
        <v>70</v>
      </c>
      <c r="F152">
        <v>50</v>
      </c>
      <c r="G152">
        <v>100000</v>
      </c>
      <c r="H152" s="3">
        <v>50904</v>
      </c>
      <c r="I152" s="3">
        <f t="shared" si="26"/>
        <v>49096</v>
      </c>
      <c r="J152" s="3">
        <v>435636</v>
      </c>
      <c r="K152" s="3">
        <v>426461</v>
      </c>
      <c r="L152" s="9">
        <f t="shared" si="27"/>
        <v>0.50904000000000005</v>
      </c>
      <c r="M152" s="5">
        <f t="shared" si="28"/>
        <v>4.3563599999999996</v>
      </c>
      <c r="N152" s="5">
        <f t="shared" si="29"/>
        <v>4.2646100000000002</v>
      </c>
      <c r="O152" s="5">
        <f t="shared" si="30"/>
        <v>1.2258000000000089</v>
      </c>
      <c r="P152" s="4">
        <f t="shared" si="31"/>
        <v>12.204540000000026</v>
      </c>
    </row>
    <row r="153" spans="1:16" x14ac:dyDescent="0.5">
      <c r="A153" t="s">
        <v>6</v>
      </c>
      <c r="B153" t="str">
        <f t="shared" si="32"/>
        <v>RNG60xERR65xARM55xTDP50</v>
      </c>
      <c r="C153">
        <v>60</v>
      </c>
      <c r="D153">
        <v>65</v>
      </c>
      <c r="E153">
        <v>55</v>
      </c>
      <c r="F153">
        <v>50</v>
      </c>
      <c r="G153">
        <v>100000</v>
      </c>
      <c r="H153" s="3">
        <v>50595</v>
      </c>
      <c r="I153" s="3">
        <f t="shared" si="26"/>
        <v>49405</v>
      </c>
      <c r="J153" s="3">
        <v>433601</v>
      </c>
      <c r="K153" s="3">
        <v>429364</v>
      </c>
      <c r="L153" s="9">
        <f t="shared" si="27"/>
        <v>0.50595000000000001</v>
      </c>
      <c r="M153" s="5">
        <f t="shared" si="28"/>
        <v>4.3360099999999999</v>
      </c>
      <c r="N153" s="5">
        <f t="shared" si="29"/>
        <v>4.2936399999999999</v>
      </c>
      <c r="O153" s="5">
        <f t="shared" si="30"/>
        <v>0.72522000000000286</v>
      </c>
      <c r="P153" s="4">
        <f t="shared" si="31"/>
        <v>7.5016800000000803</v>
      </c>
    </row>
    <row r="154" spans="1:16" x14ac:dyDescent="0.5">
      <c r="A154" t="s">
        <v>6</v>
      </c>
      <c r="B154" t="str">
        <f>_xlfn.CONCAT("RNG",C154,"xERR",D154,"xARM",E154,"xTDP",F154)</f>
        <v>RNG55xERR65xARM70xTDP50</v>
      </c>
      <c r="C154">
        <v>55</v>
      </c>
      <c r="D154">
        <v>65</v>
      </c>
      <c r="E154">
        <v>70</v>
      </c>
      <c r="F154">
        <v>50</v>
      </c>
      <c r="G154">
        <v>100000</v>
      </c>
      <c r="H154" s="3">
        <v>51063</v>
      </c>
      <c r="I154" s="3">
        <f t="shared" si="26"/>
        <v>48937</v>
      </c>
      <c r="J154" s="3">
        <v>434635</v>
      </c>
      <c r="K154" s="3">
        <v>423709</v>
      </c>
      <c r="L154" s="9">
        <f t="shared" si="27"/>
        <v>0.51063000000000003</v>
      </c>
      <c r="M154" s="5">
        <f t="shared" si="28"/>
        <v>4.3463500000000002</v>
      </c>
      <c r="N154" s="5">
        <f t="shared" si="29"/>
        <v>4.2370900000000002</v>
      </c>
      <c r="O154" s="5">
        <f t="shared" si="30"/>
        <v>1.4833800000000057</v>
      </c>
      <c r="P154" s="4">
        <f t="shared" si="31"/>
        <v>16.662780000000026</v>
      </c>
    </row>
    <row r="155" spans="1:16" x14ac:dyDescent="0.5">
      <c r="A155" t="s">
        <v>6</v>
      </c>
      <c r="B155" t="str">
        <f>_xlfn.CONCAT("RNG",C155,"xERR",D155,"xARM",E155,"xTDP",F155)</f>
        <v>RNG60xERR55xARM60xTDP50</v>
      </c>
      <c r="C155">
        <v>60</v>
      </c>
      <c r="D155">
        <v>55</v>
      </c>
      <c r="E155">
        <v>60</v>
      </c>
      <c r="F155">
        <v>50</v>
      </c>
      <c r="G155">
        <v>100000</v>
      </c>
      <c r="H155" s="3">
        <v>51105</v>
      </c>
      <c r="I155" s="3">
        <f t="shared" si="26"/>
        <v>48895</v>
      </c>
      <c r="J155" s="3">
        <v>435662</v>
      </c>
      <c r="K155" s="3">
        <v>425966</v>
      </c>
      <c r="L155" s="9">
        <f t="shared" si="27"/>
        <v>0.51105</v>
      </c>
      <c r="M155" s="5">
        <f t="shared" si="28"/>
        <v>4.3566200000000004</v>
      </c>
      <c r="N155" s="5">
        <f t="shared" si="29"/>
        <v>4.2596600000000002</v>
      </c>
      <c r="O155" s="5">
        <f t="shared" si="30"/>
        <v>1.5514200000000018</v>
      </c>
      <c r="P155" s="4">
        <f t="shared" si="31"/>
        <v>13.006440000000028</v>
      </c>
    </row>
    <row r="156" spans="1:16" x14ac:dyDescent="0.5">
      <c r="A156" s="18" t="s">
        <v>174</v>
      </c>
      <c r="B156" s="18" t="s">
        <v>165</v>
      </c>
      <c r="C156" s="18">
        <v>60</v>
      </c>
      <c r="D156" s="18">
        <v>60</v>
      </c>
      <c r="E156" s="18">
        <v>55</v>
      </c>
      <c r="F156" s="18" t="s">
        <v>175</v>
      </c>
      <c r="G156" s="18">
        <v>100000</v>
      </c>
      <c r="H156" s="19">
        <v>50147.333333333336</v>
      </c>
      <c r="I156" s="19">
        <v>49852.666666666664</v>
      </c>
      <c r="J156" s="19">
        <v>434431.33333333331</v>
      </c>
      <c r="K156" s="19">
        <v>433994.66666666669</v>
      </c>
      <c r="L156" s="20">
        <v>0.50147333333333333</v>
      </c>
      <c r="M156" s="21">
        <v>4.344313333333333</v>
      </c>
      <c r="N156" s="21">
        <v>4.3399466666666671</v>
      </c>
      <c r="O156" s="21" t="s">
        <v>50</v>
      </c>
      <c r="P156" s="22" t="s">
        <v>50</v>
      </c>
    </row>
    <row r="157" spans="1:16" x14ac:dyDescent="0.5">
      <c r="A157" t="s">
        <v>174</v>
      </c>
      <c r="B157" t="str">
        <f t="shared" ref="B157:B172" si="33">_xlfn.CONCAT("RNG",C157,"xERR",D157,"xARM",E157)</f>
        <v>RNG40xERR60xARM55</v>
      </c>
      <c r="C157">
        <v>40</v>
      </c>
      <c r="D157">
        <v>60</v>
      </c>
      <c r="E157">
        <v>55</v>
      </c>
      <c r="F157" t="s">
        <v>175</v>
      </c>
      <c r="G157">
        <v>100000</v>
      </c>
      <c r="H157" s="3">
        <v>49240</v>
      </c>
      <c r="I157" s="3">
        <f t="shared" si="26"/>
        <v>50760</v>
      </c>
      <c r="J157" s="3">
        <v>436311</v>
      </c>
      <c r="K157" s="3">
        <v>442782</v>
      </c>
      <c r="L157" s="9">
        <f t="shared" si="27"/>
        <v>0.4924</v>
      </c>
      <c r="M157" s="5">
        <f t="shared" ref="M157:M172" si="34">J157/G157</f>
        <v>4.3631099999999998</v>
      </c>
      <c r="N157" s="5">
        <f t="shared" ref="N157:N172" si="35">K157/G157</f>
        <v>4.4278199999999996</v>
      </c>
      <c r="O157" s="5">
        <f t="shared" ref="O157:O172" si="36">(L157-$L$7)*162</f>
        <v>-1.4698799999999981</v>
      </c>
      <c r="P157" s="4">
        <f t="shared" ref="P157:P172" si="37">-(N157-$N$7)*162</f>
        <v>-14.235479999999878</v>
      </c>
    </row>
    <row r="158" spans="1:16" x14ac:dyDescent="0.5">
      <c r="A158" t="s">
        <v>174</v>
      </c>
      <c r="B158" t="str">
        <f t="shared" si="33"/>
        <v>RNG50xERR60xARM55</v>
      </c>
      <c r="C158">
        <v>50</v>
      </c>
      <c r="D158">
        <v>60</v>
      </c>
      <c r="E158">
        <v>55</v>
      </c>
      <c r="F158" t="s">
        <v>175</v>
      </c>
      <c r="G158">
        <v>100000</v>
      </c>
      <c r="H158" s="3">
        <v>49164</v>
      </c>
      <c r="I158" s="3">
        <f t="shared" si="26"/>
        <v>50836</v>
      </c>
      <c r="J158" s="3">
        <v>434298</v>
      </c>
      <c r="K158" s="3">
        <v>441701</v>
      </c>
      <c r="L158" s="9">
        <f t="shared" si="27"/>
        <v>0.49164000000000002</v>
      </c>
      <c r="M158" s="5">
        <f t="shared" si="34"/>
        <v>4.3429799999999998</v>
      </c>
      <c r="N158" s="5">
        <f t="shared" si="35"/>
        <v>4.4170100000000003</v>
      </c>
      <c r="O158" s="5">
        <f t="shared" si="36"/>
        <v>-1.5929999999999955</v>
      </c>
      <c r="P158" s="4">
        <f t="shared" si="37"/>
        <v>-12.484259999999988</v>
      </c>
    </row>
    <row r="159" spans="1:16" x14ac:dyDescent="0.5">
      <c r="A159" t="s">
        <v>174</v>
      </c>
      <c r="B159" t="str">
        <f t="shared" si="33"/>
        <v>RNG70xERR60xARM55</v>
      </c>
      <c r="C159">
        <v>70</v>
      </c>
      <c r="D159">
        <v>60</v>
      </c>
      <c r="E159">
        <v>55</v>
      </c>
      <c r="F159" t="s">
        <v>175</v>
      </c>
      <c r="G159">
        <v>100000</v>
      </c>
      <c r="H159" s="3">
        <v>51998</v>
      </c>
      <c r="I159" s="3">
        <f t="shared" si="26"/>
        <v>48002</v>
      </c>
      <c r="J159" s="3">
        <v>434059</v>
      </c>
      <c r="K159" s="3">
        <v>414492</v>
      </c>
      <c r="L159" s="9">
        <f t="shared" si="27"/>
        <v>0.51998</v>
      </c>
      <c r="M159" s="5">
        <f t="shared" si="34"/>
        <v>4.3405899999999997</v>
      </c>
      <c r="N159" s="5">
        <f t="shared" si="35"/>
        <v>4.1449199999999999</v>
      </c>
      <c r="O159" s="5">
        <f t="shared" si="36"/>
        <v>2.9980800000000007</v>
      </c>
      <c r="P159" s="4">
        <f t="shared" si="37"/>
        <v>31.594320000000074</v>
      </c>
    </row>
    <row r="160" spans="1:16" x14ac:dyDescent="0.5">
      <c r="A160" t="s">
        <v>174</v>
      </c>
      <c r="B160" t="str">
        <f t="shared" si="33"/>
        <v>RNG75xERR60xARM55</v>
      </c>
      <c r="C160">
        <v>75</v>
      </c>
      <c r="D160">
        <v>60</v>
      </c>
      <c r="E160">
        <v>55</v>
      </c>
      <c r="F160" t="s">
        <v>175</v>
      </c>
      <c r="G160">
        <v>100000</v>
      </c>
      <c r="H160" s="3">
        <v>51946</v>
      </c>
      <c r="I160" s="3">
        <f t="shared" si="26"/>
        <v>48054</v>
      </c>
      <c r="J160" s="3">
        <v>434488</v>
      </c>
      <c r="K160" s="3">
        <v>414520</v>
      </c>
      <c r="L160" s="9">
        <f t="shared" si="27"/>
        <v>0.51946000000000003</v>
      </c>
      <c r="M160" s="5">
        <f t="shared" si="34"/>
        <v>4.3448799999999999</v>
      </c>
      <c r="N160" s="5">
        <f t="shared" si="35"/>
        <v>4.1452</v>
      </c>
      <c r="O160" s="5">
        <f t="shared" si="36"/>
        <v>2.9138400000000066</v>
      </c>
      <c r="P160" s="4">
        <f t="shared" si="37"/>
        <v>31.548960000000065</v>
      </c>
    </row>
    <row r="161" spans="1:16" x14ac:dyDescent="0.5">
      <c r="A161" t="s">
        <v>174</v>
      </c>
      <c r="B161" t="str">
        <f t="shared" si="33"/>
        <v>RNG60xERR40xARM55</v>
      </c>
      <c r="C161">
        <v>60</v>
      </c>
      <c r="D161">
        <v>40</v>
      </c>
      <c r="E161">
        <v>55</v>
      </c>
      <c r="F161" t="s">
        <v>175</v>
      </c>
      <c r="G161">
        <v>100000</v>
      </c>
      <c r="H161" s="3">
        <v>49934</v>
      </c>
      <c r="I161" s="3">
        <f t="shared" si="26"/>
        <v>50066</v>
      </c>
      <c r="J161" s="3">
        <v>434665</v>
      </c>
      <c r="K161" s="3">
        <v>436368</v>
      </c>
      <c r="L161" s="9">
        <f t="shared" si="27"/>
        <v>0.49934000000000001</v>
      </c>
      <c r="M161" s="5">
        <f t="shared" si="34"/>
        <v>4.3466500000000003</v>
      </c>
      <c r="N161" s="5">
        <f t="shared" si="35"/>
        <v>4.3636799999999996</v>
      </c>
      <c r="O161" s="5">
        <f t="shared" si="36"/>
        <v>-0.34559999999999791</v>
      </c>
      <c r="P161" s="4">
        <f t="shared" si="37"/>
        <v>-3.8447999999998643</v>
      </c>
    </row>
    <row r="162" spans="1:16" x14ac:dyDescent="0.5">
      <c r="A162" t="s">
        <v>174</v>
      </c>
      <c r="B162" t="str">
        <f t="shared" si="33"/>
        <v>RNG60xERR50xARM55</v>
      </c>
      <c r="C162">
        <v>60</v>
      </c>
      <c r="D162">
        <v>50</v>
      </c>
      <c r="E162">
        <v>55</v>
      </c>
      <c r="F162" t="s">
        <v>175</v>
      </c>
      <c r="G162">
        <v>100000</v>
      </c>
      <c r="H162" s="3">
        <v>50079</v>
      </c>
      <c r="I162" s="3">
        <f t="shared" si="26"/>
        <v>49921</v>
      </c>
      <c r="J162" s="3">
        <v>433588</v>
      </c>
      <c r="K162" s="3">
        <v>433833</v>
      </c>
      <c r="L162" s="9">
        <f t="shared" si="27"/>
        <v>0.50078999999999996</v>
      </c>
      <c r="M162" s="5">
        <f t="shared" si="34"/>
        <v>4.3358800000000004</v>
      </c>
      <c r="N162" s="5">
        <f t="shared" si="35"/>
        <v>4.33833</v>
      </c>
      <c r="O162" s="5">
        <f t="shared" si="36"/>
        <v>-0.11070000000000579</v>
      </c>
      <c r="P162" s="4">
        <f t="shared" si="37"/>
        <v>0.26190000000006108</v>
      </c>
    </row>
    <row r="163" spans="1:16" x14ac:dyDescent="0.5">
      <c r="A163" t="s">
        <v>174</v>
      </c>
      <c r="B163" t="str">
        <f t="shared" si="33"/>
        <v>RNG60xERR70xARM55</v>
      </c>
      <c r="C163">
        <v>60</v>
      </c>
      <c r="D163">
        <v>70</v>
      </c>
      <c r="E163">
        <v>55</v>
      </c>
      <c r="F163" t="s">
        <v>175</v>
      </c>
      <c r="G163">
        <v>100000</v>
      </c>
      <c r="H163" s="3">
        <v>50054</v>
      </c>
      <c r="I163" s="3">
        <f t="shared" si="26"/>
        <v>49946</v>
      </c>
      <c r="J163" s="3">
        <v>434073</v>
      </c>
      <c r="K163" s="3">
        <v>433812</v>
      </c>
      <c r="L163" s="9">
        <f t="shared" si="27"/>
        <v>0.50053999999999998</v>
      </c>
      <c r="M163" s="5">
        <f t="shared" si="34"/>
        <v>4.3407299999999998</v>
      </c>
      <c r="N163" s="5">
        <f t="shared" si="35"/>
        <v>4.33812</v>
      </c>
      <c r="O163" s="5">
        <f t="shared" si="36"/>
        <v>-0.15120000000000133</v>
      </c>
      <c r="P163" s="4">
        <f t="shared" si="37"/>
        <v>0.29592000000006813</v>
      </c>
    </row>
    <row r="164" spans="1:16" x14ac:dyDescent="0.5">
      <c r="A164" t="s">
        <v>174</v>
      </c>
      <c r="B164" t="str">
        <f t="shared" si="33"/>
        <v>RNG60xERR75xARM55</v>
      </c>
      <c r="C164">
        <v>60</v>
      </c>
      <c r="D164">
        <v>75</v>
      </c>
      <c r="E164">
        <v>55</v>
      </c>
      <c r="F164" t="s">
        <v>175</v>
      </c>
      <c r="G164">
        <v>100000</v>
      </c>
      <c r="H164" s="3">
        <v>49858</v>
      </c>
      <c r="I164" s="3">
        <f t="shared" si="26"/>
        <v>50142</v>
      </c>
      <c r="J164" s="3">
        <v>433851</v>
      </c>
      <c r="K164" s="3">
        <v>434401</v>
      </c>
      <c r="L164" s="9">
        <f t="shared" si="27"/>
        <v>0.49858000000000002</v>
      </c>
      <c r="M164" s="5">
        <f t="shared" si="34"/>
        <v>4.3385100000000003</v>
      </c>
      <c r="N164" s="5">
        <f t="shared" si="35"/>
        <v>4.3440099999999999</v>
      </c>
      <c r="O164" s="5">
        <f t="shared" si="36"/>
        <v>-0.46871999999999514</v>
      </c>
      <c r="P164" s="4">
        <f t="shared" si="37"/>
        <v>-0.65825999999992391</v>
      </c>
    </row>
    <row r="165" spans="1:16" x14ac:dyDescent="0.5">
      <c r="A165" t="s">
        <v>174</v>
      </c>
      <c r="B165" t="str">
        <f t="shared" si="33"/>
        <v>RNG60xERR60xARM40</v>
      </c>
      <c r="C165">
        <v>60</v>
      </c>
      <c r="D165">
        <v>60</v>
      </c>
      <c r="E165">
        <v>40</v>
      </c>
      <c r="F165" t="s">
        <v>175</v>
      </c>
      <c r="G165">
        <v>100000</v>
      </c>
      <c r="H165" s="3">
        <v>49466</v>
      </c>
      <c r="I165" s="3">
        <f t="shared" si="26"/>
        <v>50534</v>
      </c>
      <c r="J165" s="3">
        <v>434354</v>
      </c>
      <c r="K165" s="3">
        <v>439010</v>
      </c>
      <c r="L165" s="9">
        <f t="shared" si="27"/>
        <v>0.49465999999999999</v>
      </c>
      <c r="M165" s="5">
        <f t="shared" si="34"/>
        <v>4.34354</v>
      </c>
      <c r="N165" s="5">
        <f t="shared" si="35"/>
        <v>4.3901000000000003</v>
      </c>
      <c r="O165" s="5">
        <f t="shared" si="36"/>
        <v>-1.1037600000000007</v>
      </c>
      <c r="P165" s="4">
        <f t="shared" si="37"/>
        <v>-8.1248399999999901</v>
      </c>
    </row>
    <row r="166" spans="1:16" x14ac:dyDescent="0.5">
      <c r="A166" t="s">
        <v>174</v>
      </c>
      <c r="B166" t="str">
        <f t="shared" si="33"/>
        <v>RNG60xERR60xARM50</v>
      </c>
      <c r="C166">
        <v>60</v>
      </c>
      <c r="D166">
        <v>60</v>
      </c>
      <c r="E166">
        <v>50</v>
      </c>
      <c r="F166" t="s">
        <v>175</v>
      </c>
      <c r="G166">
        <v>100000</v>
      </c>
      <c r="H166" s="3">
        <v>49648</v>
      </c>
      <c r="I166" s="3">
        <f t="shared" si="26"/>
        <v>50352</v>
      </c>
      <c r="J166" s="3">
        <v>432906</v>
      </c>
      <c r="K166" s="3">
        <v>437551</v>
      </c>
      <c r="L166" s="9">
        <f t="shared" si="27"/>
        <v>0.49647999999999998</v>
      </c>
      <c r="M166" s="5">
        <f t="shared" si="34"/>
        <v>4.3290600000000001</v>
      </c>
      <c r="N166" s="5">
        <f t="shared" si="35"/>
        <v>4.3755100000000002</v>
      </c>
      <c r="O166" s="5">
        <f t="shared" si="36"/>
        <v>-0.80892000000000264</v>
      </c>
      <c r="P166" s="4">
        <f t="shared" si="37"/>
        <v>-5.7612599999999734</v>
      </c>
    </row>
    <row r="167" spans="1:16" x14ac:dyDescent="0.5">
      <c r="A167" t="s">
        <v>174</v>
      </c>
      <c r="B167" t="str">
        <f t="shared" si="33"/>
        <v>RNG60xERR60xARM70</v>
      </c>
      <c r="C167">
        <v>60</v>
      </c>
      <c r="D167">
        <v>60</v>
      </c>
      <c r="E167">
        <v>70</v>
      </c>
      <c r="F167" t="s">
        <v>175</v>
      </c>
      <c r="G167">
        <v>100000</v>
      </c>
      <c r="H167" s="3">
        <v>50116</v>
      </c>
      <c r="I167" s="3">
        <f t="shared" si="26"/>
        <v>49884</v>
      </c>
      <c r="J167" s="3">
        <v>432836</v>
      </c>
      <c r="K167" s="3">
        <v>430887</v>
      </c>
      <c r="L167" s="9">
        <f t="shared" si="27"/>
        <v>0.50116000000000005</v>
      </c>
      <c r="M167" s="5">
        <f t="shared" si="34"/>
        <v>4.32836</v>
      </c>
      <c r="N167" s="5">
        <f t="shared" si="35"/>
        <v>4.3088699999999998</v>
      </c>
      <c r="O167" s="5">
        <f t="shared" si="36"/>
        <v>-5.0759999999990812E-2</v>
      </c>
      <c r="P167" s="4">
        <f t="shared" si="37"/>
        <v>5.0344200000001038</v>
      </c>
    </row>
    <row r="168" spans="1:16" x14ac:dyDescent="0.5">
      <c r="A168" t="s">
        <v>174</v>
      </c>
      <c r="B168" t="str">
        <f t="shared" si="33"/>
        <v>RNG60xERR60xARM75</v>
      </c>
      <c r="C168">
        <v>60</v>
      </c>
      <c r="D168">
        <v>60</v>
      </c>
      <c r="E168">
        <v>75</v>
      </c>
      <c r="F168" t="s">
        <v>175</v>
      </c>
      <c r="G168">
        <v>100000</v>
      </c>
      <c r="H168" s="3">
        <v>50526</v>
      </c>
      <c r="I168" s="3">
        <f t="shared" si="26"/>
        <v>49474</v>
      </c>
      <c r="J168" s="3">
        <v>435065</v>
      </c>
      <c r="K168" s="3">
        <v>431023</v>
      </c>
      <c r="L168" s="9">
        <f t="shared" si="27"/>
        <v>0.50526000000000004</v>
      </c>
      <c r="M168" s="5">
        <f t="shared" si="34"/>
        <v>4.3506499999999999</v>
      </c>
      <c r="N168" s="5">
        <f t="shared" si="35"/>
        <v>4.3102299999999998</v>
      </c>
      <c r="O168" s="5">
        <f t="shared" si="36"/>
        <v>0.61344000000000798</v>
      </c>
      <c r="P168" s="4">
        <f t="shared" si="37"/>
        <v>4.8141000000000993</v>
      </c>
    </row>
    <row r="169" spans="1:16" x14ac:dyDescent="0.5">
      <c r="A169" t="s">
        <v>174</v>
      </c>
      <c r="B169" t="str">
        <f t="shared" si="33"/>
        <v>RNG70xERR60xARM70</v>
      </c>
      <c r="C169">
        <v>70</v>
      </c>
      <c r="D169">
        <v>60</v>
      </c>
      <c r="E169">
        <v>70</v>
      </c>
      <c r="F169" t="s">
        <v>175</v>
      </c>
      <c r="G169">
        <v>100000</v>
      </c>
      <c r="H169" s="3">
        <v>52294</v>
      </c>
      <c r="I169" s="3">
        <f t="shared" si="26"/>
        <v>47706</v>
      </c>
      <c r="J169" s="3">
        <v>432406</v>
      </c>
      <c r="K169" s="3">
        <v>410820</v>
      </c>
      <c r="L169" s="9">
        <f t="shared" si="27"/>
        <v>0.52293999999999996</v>
      </c>
      <c r="M169" s="5">
        <f t="shared" si="34"/>
        <v>4.3240600000000002</v>
      </c>
      <c r="N169" s="5">
        <f t="shared" si="35"/>
        <v>4.1082000000000001</v>
      </c>
      <c r="O169" s="5">
        <f t="shared" si="36"/>
        <v>3.4775999999999945</v>
      </c>
      <c r="P169" s="4">
        <f t="shared" si="37"/>
        <v>37.542960000000051</v>
      </c>
    </row>
    <row r="170" spans="1:16" x14ac:dyDescent="0.5">
      <c r="A170" t="s">
        <v>174</v>
      </c>
      <c r="B170" t="str">
        <f t="shared" si="33"/>
        <v>RNG40xERR60xARM40</v>
      </c>
      <c r="C170">
        <v>40</v>
      </c>
      <c r="D170">
        <v>60</v>
      </c>
      <c r="E170">
        <v>40</v>
      </c>
      <c r="F170" t="s">
        <v>175</v>
      </c>
      <c r="G170">
        <v>100000</v>
      </c>
      <c r="H170" s="3">
        <v>48798</v>
      </c>
      <c r="I170" s="3">
        <f t="shared" si="26"/>
        <v>51202</v>
      </c>
      <c r="J170" s="3">
        <v>435332</v>
      </c>
      <c r="K170" s="3">
        <v>446327</v>
      </c>
      <c r="L170" s="9">
        <f t="shared" si="27"/>
        <v>0.48798000000000002</v>
      </c>
      <c r="M170" s="5">
        <f t="shared" si="34"/>
        <v>4.3533200000000001</v>
      </c>
      <c r="N170" s="5">
        <f t="shared" si="35"/>
        <v>4.4632699999999996</v>
      </c>
      <c r="O170" s="5">
        <f t="shared" si="36"/>
        <v>-2.185919999999995</v>
      </c>
      <c r="P170" s="4">
        <f t="shared" si="37"/>
        <v>-19.978379999999873</v>
      </c>
    </row>
    <row r="171" spans="1:16" x14ac:dyDescent="0.5">
      <c r="A171" t="s">
        <v>174</v>
      </c>
      <c r="B171" t="str">
        <f t="shared" si="33"/>
        <v>RNG40xERR60xARM70</v>
      </c>
      <c r="C171">
        <v>40</v>
      </c>
      <c r="D171">
        <v>60</v>
      </c>
      <c r="E171">
        <v>70</v>
      </c>
      <c r="F171" t="s">
        <v>175</v>
      </c>
      <c r="G171">
        <v>100000</v>
      </c>
      <c r="H171" s="3">
        <v>49431</v>
      </c>
      <c r="I171" s="3">
        <f t="shared" si="26"/>
        <v>50569</v>
      </c>
      <c r="J171" s="3">
        <v>433642</v>
      </c>
      <c r="K171" s="3">
        <v>439115</v>
      </c>
      <c r="L171" s="9">
        <f t="shared" si="27"/>
        <v>0.49431000000000003</v>
      </c>
      <c r="M171" s="5">
        <f t="shared" si="34"/>
        <v>4.3364200000000004</v>
      </c>
      <c r="N171" s="5">
        <f t="shared" si="35"/>
        <v>4.3911499999999997</v>
      </c>
      <c r="O171" s="5">
        <f t="shared" si="36"/>
        <v>-1.1604599999999945</v>
      </c>
      <c r="P171" s="4">
        <f t="shared" si="37"/>
        <v>-8.2949399999998814</v>
      </c>
    </row>
    <row r="172" spans="1:16" x14ac:dyDescent="0.5">
      <c r="A172" t="s">
        <v>174</v>
      </c>
      <c r="B172" t="str">
        <f t="shared" si="33"/>
        <v>RNG50xERR60xARM70</v>
      </c>
      <c r="C172">
        <v>50</v>
      </c>
      <c r="D172">
        <v>60</v>
      </c>
      <c r="E172">
        <v>70</v>
      </c>
      <c r="F172" t="s">
        <v>175</v>
      </c>
      <c r="G172">
        <v>100000</v>
      </c>
      <c r="H172" s="3">
        <v>49573</v>
      </c>
      <c r="I172" s="3">
        <f t="shared" si="26"/>
        <v>50427</v>
      </c>
      <c r="J172" s="3">
        <v>434356</v>
      </c>
      <c r="K172" s="3">
        <v>438610</v>
      </c>
      <c r="L172" s="9">
        <f t="shared" si="27"/>
        <v>0.49573</v>
      </c>
      <c r="M172" s="5">
        <f t="shared" si="34"/>
        <v>4.3435600000000001</v>
      </c>
      <c r="N172" s="5">
        <f t="shared" si="35"/>
        <v>4.3860999999999999</v>
      </c>
      <c r="O172" s="5">
        <f t="shared" si="36"/>
        <v>-0.93041999999999825</v>
      </c>
      <c r="P172" s="4">
        <f t="shared" si="37"/>
        <v>-7.4768399999999176</v>
      </c>
    </row>
    <row r="173" spans="1:16" x14ac:dyDescent="0.5">
      <c r="A173" s="18" t="s">
        <v>178</v>
      </c>
      <c r="B173" s="18" t="s">
        <v>165</v>
      </c>
      <c r="C173" s="18">
        <v>60</v>
      </c>
      <c r="D173" s="18">
        <v>60</v>
      </c>
      <c r="E173" s="18">
        <v>55</v>
      </c>
      <c r="F173" s="18" t="s">
        <v>175</v>
      </c>
      <c r="G173" s="18">
        <v>100000</v>
      </c>
      <c r="H173" s="19">
        <v>50147.333333333336</v>
      </c>
      <c r="I173" s="19">
        <v>49852.666666666664</v>
      </c>
      <c r="J173" s="19">
        <v>434431.33333333331</v>
      </c>
      <c r="K173" s="19">
        <v>433994.66666666669</v>
      </c>
      <c r="L173" s="20">
        <v>0.50147333333333333</v>
      </c>
      <c r="M173" s="21">
        <v>4.344313333333333</v>
      </c>
      <c r="N173" s="21">
        <v>4.3399466666666671</v>
      </c>
      <c r="O173" s="21" t="s">
        <v>50</v>
      </c>
      <c r="P173" s="22" t="s">
        <v>50</v>
      </c>
    </row>
    <row r="174" spans="1:16" x14ac:dyDescent="0.5">
      <c r="A174" t="s">
        <v>178</v>
      </c>
      <c r="B174" t="str">
        <f>_xlfn.CONCAT("RNG",C174,"xERR",D174,"xARM",E174)</f>
        <v>RNG40xERR40xARM40</v>
      </c>
      <c r="C174">
        <v>40</v>
      </c>
      <c r="D174">
        <v>40</v>
      </c>
      <c r="E174">
        <v>40</v>
      </c>
      <c r="F174" t="s">
        <v>175</v>
      </c>
      <c r="G174">
        <v>100000</v>
      </c>
      <c r="H174" s="3">
        <v>48935</v>
      </c>
      <c r="I174" s="3">
        <f t="shared" si="26"/>
        <v>51065</v>
      </c>
      <c r="J174" s="3">
        <v>435128</v>
      </c>
      <c r="K174" s="3">
        <v>445453</v>
      </c>
      <c r="L174" s="9">
        <f t="shared" ref="L174:L209" si="38">H174/G174</f>
        <v>0.48935000000000001</v>
      </c>
      <c r="M174" s="5">
        <f t="shared" ref="M174:M209" si="39">J174/G174</f>
        <v>4.35128</v>
      </c>
      <c r="N174" s="5">
        <f t="shared" ref="N174:N209" si="40">K174/G174</f>
        <v>4.4545300000000001</v>
      </c>
      <c r="O174" s="5">
        <f t="shared" ref="O174:O209" si="41">(L174-$L$7)*162</f>
        <v>-1.9639799999999976</v>
      </c>
      <c r="P174" s="4">
        <f t="shared" ref="P174:P209" si="42">-(N174-$N$7)*162</f>
        <v>-18.56249999999995</v>
      </c>
    </row>
    <row r="175" spans="1:16" x14ac:dyDescent="0.5">
      <c r="A175" t="s">
        <v>178</v>
      </c>
      <c r="B175" t="str">
        <f t="shared" ref="B175:B182" si="43">_xlfn.CONCAT("RNG",C175,"xERR",D175,"xARM",E175)</f>
        <v>RNG60xERR40xARM40</v>
      </c>
      <c r="C175">
        <v>60</v>
      </c>
      <c r="D175">
        <v>40</v>
      </c>
      <c r="E175">
        <v>40</v>
      </c>
      <c r="F175" t="s">
        <v>175</v>
      </c>
      <c r="G175">
        <v>100000</v>
      </c>
      <c r="H175" s="3">
        <v>49691</v>
      </c>
      <c r="I175" s="3">
        <f t="shared" si="26"/>
        <v>50309</v>
      </c>
      <c r="J175" s="3">
        <v>434691</v>
      </c>
      <c r="K175" s="3">
        <v>438308</v>
      </c>
      <c r="L175" s="9">
        <f t="shared" si="38"/>
        <v>0.49691000000000002</v>
      </c>
      <c r="M175" s="5">
        <f t="shared" si="39"/>
        <v>4.3469100000000003</v>
      </c>
      <c r="N175" s="5">
        <f t="shared" si="40"/>
        <v>4.3830799999999996</v>
      </c>
      <c r="O175" s="5">
        <f t="shared" si="41"/>
        <v>-0.73925999999999592</v>
      </c>
      <c r="P175" s="4">
        <f t="shared" si="42"/>
        <v>-6.9875999999998779</v>
      </c>
    </row>
    <row r="176" spans="1:16" x14ac:dyDescent="0.5">
      <c r="A176" t="s">
        <v>178</v>
      </c>
      <c r="B176" t="str">
        <f t="shared" si="43"/>
        <v>RNG80xERR40xARM40</v>
      </c>
      <c r="C176">
        <v>80</v>
      </c>
      <c r="D176">
        <v>40</v>
      </c>
      <c r="E176">
        <v>40</v>
      </c>
      <c r="F176" t="s">
        <v>175</v>
      </c>
      <c r="G176">
        <v>100000</v>
      </c>
      <c r="H176" s="3">
        <v>51617</v>
      </c>
      <c r="I176" s="3">
        <f t="shared" si="26"/>
        <v>48383</v>
      </c>
      <c r="J176" s="3">
        <v>434021</v>
      </c>
      <c r="K176" s="3">
        <v>419853</v>
      </c>
      <c r="L176" s="9">
        <f t="shared" si="38"/>
        <v>0.51617000000000002</v>
      </c>
      <c r="M176" s="5">
        <f t="shared" si="39"/>
        <v>4.3402099999999999</v>
      </c>
      <c r="N176" s="5">
        <f t="shared" si="40"/>
        <v>4.1985299999999999</v>
      </c>
      <c r="O176" s="5">
        <f t="shared" si="41"/>
        <v>2.3808600000000038</v>
      </c>
      <c r="P176" s="4">
        <f t="shared" si="42"/>
        <v>22.909500000000087</v>
      </c>
    </row>
    <row r="177" spans="1:16" x14ac:dyDescent="0.5">
      <c r="A177" t="s">
        <v>178</v>
      </c>
      <c r="B177" t="str">
        <f t="shared" si="43"/>
        <v>RNG40xERR60xARM40</v>
      </c>
      <c r="C177">
        <v>40</v>
      </c>
      <c r="D177">
        <v>60</v>
      </c>
      <c r="E177">
        <v>40</v>
      </c>
      <c r="F177" t="s">
        <v>175</v>
      </c>
      <c r="G177">
        <v>100000</v>
      </c>
      <c r="H177" s="3">
        <v>48798</v>
      </c>
      <c r="I177" s="3">
        <f t="shared" si="26"/>
        <v>51202</v>
      </c>
      <c r="J177" s="3">
        <v>435332</v>
      </c>
      <c r="K177" s="3">
        <v>446327</v>
      </c>
      <c r="L177" s="9">
        <f t="shared" si="38"/>
        <v>0.48798000000000002</v>
      </c>
      <c r="M177" s="5">
        <f t="shared" si="39"/>
        <v>4.3533200000000001</v>
      </c>
      <c r="N177" s="5">
        <f t="shared" si="40"/>
        <v>4.4632699999999996</v>
      </c>
      <c r="O177" s="5">
        <f t="shared" si="41"/>
        <v>-2.185919999999995</v>
      </c>
      <c r="P177" s="4">
        <f t="shared" si="42"/>
        <v>-19.978379999999873</v>
      </c>
    </row>
    <row r="178" spans="1:16" x14ac:dyDescent="0.5">
      <c r="A178" t="s">
        <v>178</v>
      </c>
      <c r="B178" t="str">
        <f t="shared" si="43"/>
        <v>RNG60xERR60xARM40</v>
      </c>
      <c r="C178">
        <v>60</v>
      </c>
      <c r="D178">
        <v>60</v>
      </c>
      <c r="E178">
        <v>40</v>
      </c>
      <c r="F178" t="s">
        <v>175</v>
      </c>
      <c r="G178">
        <v>100000</v>
      </c>
      <c r="H178" s="3">
        <v>49466</v>
      </c>
      <c r="I178" s="3">
        <f t="shared" si="26"/>
        <v>50534</v>
      </c>
      <c r="J178" s="3">
        <v>434354</v>
      </c>
      <c r="K178" s="3">
        <v>439010</v>
      </c>
      <c r="L178" s="9">
        <f t="shared" si="38"/>
        <v>0.49465999999999999</v>
      </c>
      <c r="M178" s="5">
        <f t="shared" si="39"/>
        <v>4.34354</v>
      </c>
      <c r="N178" s="5">
        <f t="shared" si="40"/>
        <v>4.3901000000000003</v>
      </c>
      <c r="O178" s="5">
        <f t="shared" si="41"/>
        <v>-1.1037600000000007</v>
      </c>
      <c r="P178" s="4">
        <f t="shared" si="42"/>
        <v>-8.1248399999999901</v>
      </c>
    </row>
    <row r="179" spans="1:16" x14ac:dyDescent="0.5">
      <c r="A179" t="s">
        <v>178</v>
      </c>
      <c r="B179" t="str">
        <f t="shared" si="43"/>
        <v>RNG80xERR60xARM40</v>
      </c>
      <c r="C179">
        <v>80</v>
      </c>
      <c r="D179">
        <v>60</v>
      </c>
      <c r="E179">
        <v>40</v>
      </c>
      <c r="F179" t="s">
        <v>175</v>
      </c>
      <c r="G179">
        <v>100000</v>
      </c>
      <c r="H179" s="3">
        <v>51830</v>
      </c>
      <c r="I179" s="3">
        <f t="shared" si="26"/>
        <v>48170</v>
      </c>
      <c r="J179" s="3">
        <v>434927</v>
      </c>
      <c r="K179" s="3">
        <v>418159</v>
      </c>
      <c r="L179" s="9">
        <f t="shared" si="38"/>
        <v>0.51829999999999998</v>
      </c>
      <c r="M179" s="5">
        <f t="shared" si="39"/>
        <v>4.3492699999999997</v>
      </c>
      <c r="N179" s="5">
        <f t="shared" si="40"/>
        <v>4.1815899999999999</v>
      </c>
      <c r="O179" s="5">
        <f t="shared" si="41"/>
        <v>2.7259199999999986</v>
      </c>
      <c r="P179" s="4">
        <f t="shared" si="42"/>
        <v>25.653780000000076</v>
      </c>
    </row>
    <row r="180" spans="1:16" x14ac:dyDescent="0.5">
      <c r="A180" t="s">
        <v>178</v>
      </c>
      <c r="B180" t="str">
        <f t="shared" si="43"/>
        <v>RNG40xERR80xARM40</v>
      </c>
      <c r="C180">
        <v>40</v>
      </c>
      <c r="D180">
        <v>80</v>
      </c>
      <c r="E180">
        <v>40</v>
      </c>
      <c r="F180" t="s">
        <v>175</v>
      </c>
      <c r="G180">
        <v>100000</v>
      </c>
      <c r="H180" s="3">
        <v>48860</v>
      </c>
      <c r="I180" s="3">
        <f t="shared" si="26"/>
        <v>51140</v>
      </c>
      <c r="J180" s="3">
        <v>433532</v>
      </c>
      <c r="K180" s="3">
        <v>445510</v>
      </c>
      <c r="L180" s="9">
        <f t="shared" si="38"/>
        <v>0.48859999999999998</v>
      </c>
      <c r="M180" s="5">
        <f t="shared" si="39"/>
        <v>4.3353200000000003</v>
      </c>
      <c r="N180" s="5">
        <f t="shared" si="40"/>
        <v>4.4550999999999998</v>
      </c>
      <c r="O180" s="5">
        <f t="shared" si="41"/>
        <v>-2.0854800000000022</v>
      </c>
      <c r="P180" s="4">
        <f t="shared" si="42"/>
        <v>-18.654839999999908</v>
      </c>
    </row>
    <row r="181" spans="1:16" x14ac:dyDescent="0.5">
      <c r="A181" t="s">
        <v>178</v>
      </c>
      <c r="B181" t="str">
        <f t="shared" si="43"/>
        <v>RNG60xERR80xARM40</v>
      </c>
      <c r="C181">
        <v>60</v>
      </c>
      <c r="D181">
        <v>80</v>
      </c>
      <c r="E181">
        <v>40</v>
      </c>
      <c r="F181" t="s">
        <v>175</v>
      </c>
      <c r="G181">
        <v>100000</v>
      </c>
      <c r="H181" s="3">
        <v>49129</v>
      </c>
      <c r="I181" s="3">
        <f t="shared" si="26"/>
        <v>50871</v>
      </c>
      <c r="J181" s="3">
        <v>432970</v>
      </c>
      <c r="K181" s="3">
        <v>438561</v>
      </c>
      <c r="L181" s="9">
        <f t="shared" si="38"/>
        <v>0.49129</v>
      </c>
      <c r="M181" s="5">
        <f t="shared" si="39"/>
        <v>4.3296999999999999</v>
      </c>
      <c r="N181" s="5">
        <f t="shared" si="40"/>
        <v>4.3856099999999998</v>
      </c>
      <c r="O181" s="5">
        <f t="shared" si="41"/>
        <v>-1.6496999999999982</v>
      </c>
      <c r="P181" s="4">
        <f t="shared" si="42"/>
        <v>-7.3974599999999011</v>
      </c>
    </row>
    <row r="182" spans="1:16" x14ac:dyDescent="0.5">
      <c r="A182" t="s">
        <v>178</v>
      </c>
      <c r="B182" t="str">
        <f t="shared" si="43"/>
        <v>RNG80xERR80xARM40</v>
      </c>
      <c r="C182">
        <v>80</v>
      </c>
      <c r="D182">
        <v>80</v>
      </c>
      <c r="E182">
        <v>40</v>
      </c>
      <c r="F182" t="s">
        <v>175</v>
      </c>
      <c r="G182">
        <v>100000</v>
      </c>
      <c r="H182" s="3">
        <v>51661</v>
      </c>
      <c r="I182" s="3">
        <f t="shared" si="26"/>
        <v>48339</v>
      </c>
      <c r="J182" s="3">
        <v>433564</v>
      </c>
      <c r="K182" s="3">
        <v>417240</v>
      </c>
      <c r="L182" s="9">
        <f t="shared" si="38"/>
        <v>0.51661000000000001</v>
      </c>
      <c r="M182" s="5">
        <f t="shared" si="39"/>
        <v>4.3356399999999997</v>
      </c>
      <c r="N182" s="5">
        <f t="shared" si="40"/>
        <v>4.1723999999999997</v>
      </c>
      <c r="O182" s="5">
        <f t="shared" si="41"/>
        <v>2.4521400000000035</v>
      </c>
      <c r="P182" s="4">
        <f t="shared" si="42"/>
        <v>27.142560000000117</v>
      </c>
    </row>
    <row r="183" spans="1:16" x14ac:dyDescent="0.5">
      <c r="A183" t="s">
        <v>178</v>
      </c>
      <c r="B183" t="str">
        <f>_xlfn.CONCAT("RNG",C183,"xERR",D183,"xARM",E183)</f>
        <v>RNG40xERR40xARM60</v>
      </c>
      <c r="C183">
        <v>40</v>
      </c>
      <c r="D183">
        <v>40</v>
      </c>
      <c r="E183">
        <v>60</v>
      </c>
      <c r="F183" t="s">
        <v>175</v>
      </c>
      <c r="G183">
        <v>100000</v>
      </c>
      <c r="H183" s="3">
        <v>49084</v>
      </c>
      <c r="I183" s="3">
        <f t="shared" si="26"/>
        <v>50916</v>
      </c>
      <c r="J183" s="3">
        <v>432599</v>
      </c>
      <c r="K183" s="3">
        <v>441520</v>
      </c>
      <c r="L183" s="9">
        <f t="shared" si="38"/>
        <v>0.49084</v>
      </c>
      <c r="M183" s="5">
        <f t="shared" si="39"/>
        <v>4.32599</v>
      </c>
      <c r="N183" s="5">
        <f t="shared" si="40"/>
        <v>4.4151999999999996</v>
      </c>
      <c r="O183" s="5">
        <f t="shared" si="41"/>
        <v>-1.722599999999999</v>
      </c>
      <c r="P183" s="4">
        <f t="shared" si="42"/>
        <v>-12.191039999999866</v>
      </c>
    </row>
    <row r="184" spans="1:16" x14ac:dyDescent="0.5">
      <c r="A184" t="s">
        <v>178</v>
      </c>
      <c r="B184" t="str">
        <f t="shared" ref="B184:B209" si="44">_xlfn.CONCAT("RNG",C184,"xERR",D184,"xARM",E184)</f>
        <v>RNG60xERR40xARM60</v>
      </c>
      <c r="C184">
        <v>60</v>
      </c>
      <c r="D184">
        <v>40</v>
      </c>
      <c r="E184">
        <v>60</v>
      </c>
      <c r="F184" t="s">
        <v>175</v>
      </c>
      <c r="G184">
        <v>100000</v>
      </c>
      <c r="H184" s="3">
        <v>49982</v>
      </c>
      <c r="I184" s="3">
        <f t="shared" si="26"/>
        <v>50018</v>
      </c>
      <c r="J184" s="3">
        <v>434504</v>
      </c>
      <c r="K184" s="3">
        <v>436250</v>
      </c>
      <c r="L184" s="9">
        <f t="shared" si="38"/>
        <v>0.49981999999999999</v>
      </c>
      <c r="M184" s="5">
        <f t="shared" si="39"/>
        <v>4.34504</v>
      </c>
      <c r="N184" s="5">
        <f t="shared" si="40"/>
        <v>4.3624999999999998</v>
      </c>
      <c r="O184" s="5">
        <f t="shared" si="41"/>
        <v>-0.26784000000000108</v>
      </c>
      <c r="P184" s="4">
        <f t="shared" si="42"/>
        <v>-3.653639999999907</v>
      </c>
    </row>
    <row r="185" spans="1:16" x14ac:dyDescent="0.5">
      <c r="A185" t="s">
        <v>178</v>
      </c>
      <c r="B185" t="str">
        <f t="shared" si="44"/>
        <v>RNG80xERR40xARM60</v>
      </c>
      <c r="C185">
        <v>80</v>
      </c>
      <c r="D185">
        <v>40</v>
      </c>
      <c r="E185">
        <v>60</v>
      </c>
      <c r="F185" t="s">
        <v>175</v>
      </c>
      <c r="G185">
        <v>100000</v>
      </c>
      <c r="H185" s="3">
        <v>51830</v>
      </c>
      <c r="I185" s="3">
        <f t="shared" si="26"/>
        <v>48170</v>
      </c>
      <c r="J185" s="3">
        <v>433203</v>
      </c>
      <c r="K185" s="3">
        <v>415472</v>
      </c>
      <c r="L185" s="9">
        <f t="shared" si="38"/>
        <v>0.51829999999999998</v>
      </c>
      <c r="M185" s="5">
        <f t="shared" si="39"/>
        <v>4.3320299999999996</v>
      </c>
      <c r="N185" s="5">
        <f t="shared" si="40"/>
        <v>4.1547200000000002</v>
      </c>
      <c r="O185" s="5">
        <f t="shared" si="41"/>
        <v>2.7259199999999986</v>
      </c>
      <c r="P185" s="4">
        <f t="shared" si="42"/>
        <v>30.006720000000033</v>
      </c>
    </row>
    <row r="186" spans="1:16" x14ac:dyDescent="0.5">
      <c r="A186" t="s">
        <v>178</v>
      </c>
      <c r="B186" t="str">
        <f t="shared" si="44"/>
        <v>RNG40xERR60xARM60</v>
      </c>
      <c r="C186">
        <v>40</v>
      </c>
      <c r="D186">
        <v>60</v>
      </c>
      <c r="E186">
        <v>60</v>
      </c>
      <c r="F186" t="s">
        <v>175</v>
      </c>
      <c r="G186">
        <v>100000</v>
      </c>
      <c r="H186" s="3">
        <v>49505</v>
      </c>
      <c r="I186" s="3">
        <f t="shared" si="26"/>
        <v>50495</v>
      </c>
      <c r="J186" s="3">
        <v>434654</v>
      </c>
      <c r="K186" s="3">
        <v>440351</v>
      </c>
      <c r="L186" s="9">
        <f t="shared" si="38"/>
        <v>0.49504999999999999</v>
      </c>
      <c r="M186" s="5">
        <f t="shared" si="39"/>
        <v>4.3465400000000001</v>
      </c>
      <c r="N186" s="5">
        <f t="shared" si="40"/>
        <v>4.4035099999999998</v>
      </c>
      <c r="O186" s="5">
        <f t="shared" si="41"/>
        <v>-1.0405800000000005</v>
      </c>
      <c r="P186" s="4">
        <f t="shared" si="42"/>
        <v>-10.297259999999905</v>
      </c>
    </row>
    <row r="187" spans="1:16" x14ac:dyDescent="0.5">
      <c r="A187" t="s">
        <v>178</v>
      </c>
      <c r="B187" t="str">
        <f t="shared" si="44"/>
        <v>RNG60xERR60xARM60</v>
      </c>
      <c r="C187">
        <v>60</v>
      </c>
      <c r="D187">
        <v>60</v>
      </c>
      <c r="E187">
        <v>60</v>
      </c>
      <c r="F187" t="s">
        <v>175</v>
      </c>
      <c r="G187">
        <v>100000</v>
      </c>
      <c r="H187" s="3">
        <v>50202</v>
      </c>
      <c r="I187" s="3">
        <f t="shared" si="26"/>
        <v>49798</v>
      </c>
      <c r="J187" s="3">
        <v>433767</v>
      </c>
      <c r="K187" s="3">
        <v>432353</v>
      </c>
      <c r="L187" s="9">
        <f t="shared" si="38"/>
        <v>0.50202000000000002</v>
      </c>
      <c r="M187" s="5">
        <f t="shared" si="39"/>
        <v>4.3376700000000001</v>
      </c>
      <c r="N187" s="5">
        <f t="shared" si="40"/>
        <v>4.3235299999999999</v>
      </c>
      <c r="O187" s="5">
        <f t="shared" si="41"/>
        <v>8.8560000000004635E-2</v>
      </c>
      <c r="P187" s="4">
        <f t="shared" si="42"/>
        <v>2.6595000000000848</v>
      </c>
    </row>
    <row r="188" spans="1:16" x14ac:dyDescent="0.5">
      <c r="A188" t="s">
        <v>178</v>
      </c>
      <c r="B188" t="str">
        <f t="shared" si="44"/>
        <v>RNG80xERR60xARM60</v>
      </c>
      <c r="C188">
        <v>80</v>
      </c>
      <c r="D188">
        <v>60</v>
      </c>
      <c r="E188">
        <v>60</v>
      </c>
      <c r="F188" t="s">
        <v>175</v>
      </c>
      <c r="G188">
        <v>100000</v>
      </c>
      <c r="H188" s="3">
        <v>52029</v>
      </c>
      <c r="I188" s="3">
        <f t="shared" si="26"/>
        <v>47971</v>
      </c>
      <c r="J188" s="3">
        <v>433682</v>
      </c>
      <c r="K188" s="3">
        <v>413756</v>
      </c>
      <c r="L188" s="9">
        <f t="shared" si="38"/>
        <v>0.52029000000000003</v>
      </c>
      <c r="M188" s="5">
        <f t="shared" si="39"/>
        <v>4.3368200000000003</v>
      </c>
      <c r="N188" s="5">
        <f t="shared" si="40"/>
        <v>4.1375599999999997</v>
      </c>
      <c r="O188" s="5">
        <f t="shared" si="41"/>
        <v>3.048300000000006</v>
      </c>
      <c r="P188" s="4">
        <f t="shared" si="42"/>
        <v>32.786640000000119</v>
      </c>
    </row>
    <row r="189" spans="1:16" x14ac:dyDescent="0.5">
      <c r="A189" t="s">
        <v>178</v>
      </c>
      <c r="B189" t="str">
        <f t="shared" si="44"/>
        <v>RNG40xERR80xARM60</v>
      </c>
      <c r="C189">
        <v>40</v>
      </c>
      <c r="D189">
        <v>80</v>
      </c>
      <c r="E189">
        <v>60</v>
      </c>
      <c r="F189" t="s">
        <v>175</v>
      </c>
      <c r="G189">
        <v>100000</v>
      </c>
      <c r="H189" s="3">
        <v>49468</v>
      </c>
      <c r="I189" s="3">
        <f t="shared" si="26"/>
        <v>50532</v>
      </c>
      <c r="J189" s="3">
        <v>434891</v>
      </c>
      <c r="K189" s="3">
        <v>440654</v>
      </c>
      <c r="L189" s="9">
        <f t="shared" si="38"/>
        <v>0.49468000000000001</v>
      </c>
      <c r="M189" s="5">
        <f t="shared" si="39"/>
        <v>4.3489100000000001</v>
      </c>
      <c r="N189" s="5">
        <f t="shared" si="40"/>
        <v>4.4065399999999997</v>
      </c>
      <c r="O189" s="5">
        <f t="shared" si="41"/>
        <v>-1.1005199999999975</v>
      </c>
      <c r="P189" s="4">
        <f t="shared" si="42"/>
        <v>-10.788119999999884</v>
      </c>
    </row>
    <row r="190" spans="1:16" x14ac:dyDescent="0.5">
      <c r="A190" t="s">
        <v>178</v>
      </c>
      <c r="B190" t="str">
        <f t="shared" si="44"/>
        <v>RNG60xERR80xARM60</v>
      </c>
      <c r="C190">
        <v>60</v>
      </c>
      <c r="D190">
        <v>80</v>
      </c>
      <c r="E190">
        <v>60</v>
      </c>
      <c r="F190" t="s">
        <v>175</v>
      </c>
      <c r="G190">
        <v>100000</v>
      </c>
      <c r="H190" s="3">
        <v>50195</v>
      </c>
      <c r="I190" s="3">
        <f t="shared" si="26"/>
        <v>49805</v>
      </c>
      <c r="J190" s="3">
        <v>432497</v>
      </c>
      <c r="K190" s="3">
        <v>431119</v>
      </c>
      <c r="L190" s="9">
        <f t="shared" si="38"/>
        <v>0.50195000000000001</v>
      </c>
      <c r="M190" s="5">
        <f t="shared" si="39"/>
        <v>4.3249700000000004</v>
      </c>
      <c r="N190" s="5">
        <f t="shared" si="40"/>
        <v>4.3111899999999999</v>
      </c>
      <c r="O190" s="5">
        <f t="shared" si="41"/>
        <v>7.7220000000002287E-2</v>
      </c>
      <c r="P190" s="4">
        <f t="shared" si="42"/>
        <v>4.6585800000000877</v>
      </c>
    </row>
    <row r="191" spans="1:16" x14ac:dyDescent="0.5">
      <c r="A191" t="s">
        <v>178</v>
      </c>
      <c r="B191" t="str">
        <f t="shared" si="44"/>
        <v>RNG80xERR80xARM60</v>
      </c>
      <c r="C191">
        <v>80</v>
      </c>
      <c r="D191">
        <v>80</v>
      </c>
      <c r="E191">
        <v>60</v>
      </c>
      <c r="F191" t="s">
        <v>175</v>
      </c>
      <c r="G191">
        <v>100000</v>
      </c>
      <c r="H191" s="3">
        <v>52228</v>
      </c>
      <c r="I191" s="3">
        <f t="shared" si="26"/>
        <v>47772</v>
      </c>
      <c r="J191" s="3">
        <v>434443</v>
      </c>
      <c r="K191" s="3">
        <v>413957</v>
      </c>
      <c r="L191" s="9">
        <f t="shared" si="38"/>
        <v>0.52227999999999997</v>
      </c>
      <c r="M191" s="5">
        <f t="shared" si="39"/>
        <v>4.34443</v>
      </c>
      <c r="N191" s="5">
        <f t="shared" si="40"/>
        <v>4.13957</v>
      </c>
      <c r="O191" s="5">
        <f t="shared" si="41"/>
        <v>3.3706799999999957</v>
      </c>
      <c r="P191" s="4">
        <f t="shared" si="42"/>
        <v>32.461020000000069</v>
      </c>
    </row>
    <row r="192" spans="1:16" x14ac:dyDescent="0.5">
      <c r="A192" t="s">
        <v>178</v>
      </c>
      <c r="B192" t="str">
        <f t="shared" si="44"/>
        <v>RNG40xERR40xARM80</v>
      </c>
      <c r="C192">
        <v>40</v>
      </c>
      <c r="D192">
        <v>40</v>
      </c>
      <c r="E192">
        <v>80</v>
      </c>
      <c r="F192" t="s">
        <v>175</v>
      </c>
      <c r="G192">
        <v>100000</v>
      </c>
      <c r="H192" s="3">
        <v>49672</v>
      </c>
      <c r="I192" s="3">
        <f t="shared" si="26"/>
        <v>50328</v>
      </c>
      <c r="J192" s="3">
        <v>434257</v>
      </c>
      <c r="K192" s="3">
        <v>439065</v>
      </c>
      <c r="L192" s="9">
        <f t="shared" si="38"/>
        <v>0.49671999999999999</v>
      </c>
      <c r="M192" s="5">
        <f t="shared" si="39"/>
        <v>4.3425700000000003</v>
      </c>
      <c r="N192" s="5">
        <f t="shared" si="40"/>
        <v>4.3906499999999999</v>
      </c>
      <c r="O192" s="5">
        <f t="shared" si="41"/>
        <v>-0.77003999999999972</v>
      </c>
      <c r="P192" s="4">
        <f t="shared" si="42"/>
        <v>-8.2139399999999263</v>
      </c>
    </row>
    <row r="193" spans="1:16" x14ac:dyDescent="0.5">
      <c r="A193" t="s">
        <v>178</v>
      </c>
      <c r="B193" t="str">
        <f t="shared" si="44"/>
        <v>RNG60xERR40xARM80</v>
      </c>
      <c r="C193">
        <v>60</v>
      </c>
      <c r="D193">
        <v>40</v>
      </c>
      <c r="E193">
        <v>80</v>
      </c>
      <c r="F193" t="s">
        <v>175</v>
      </c>
      <c r="G193">
        <v>100000</v>
      </c>
      <c r="H193" s="3">
        <v>50116</v>
      </c>
      <c r="I193" s="3">
        <f t="shared" si="26"/>
        <v>49884</v>
      </c>
      <c r="J193" s="3">
        <v>433910</v>
      </c>
      <c r="K193" s="3">
        <v>432477</v>
      </c>
      <c r="L193" s="9">
        <f t="shared" si="38"/>
        <v>0.50116000000000005</v>
      </c>
      <c r="M193" s="5">
        <f t="shared" si="39"/>
        <v>4.3391000000000002</v>
      </c>
      <c r="N193" s="5">
        <f t="shared" si="40"/>
        <v>4.32477</v>
      </c>
      <c r="O193" s="5">
        <f t="shared" si="41"/>
        <v>-5.0759999999990812E-2</v>
      </c>
      <c r="P193" s="4">
        <f t="shared" si="42"/>
        <v>2.4586200000000638</v>
      </c>
    </row>
    <row r="194" spans="1:16" x14ac:dyDescent="0.5">
      <c r="A194" t="s">
        <v>178</v>
      </c>
      <c r="B194" t="str">
        <f t="shared" si="44"/>
        <v>RNG80xERR40xARM80</v>
      </c>
      <c r="C194">
        <v>80</v>
      </c>
      <c r="D194">
        <v>40</v>
      </c>
      <c r="E194">
        <v>80</v>
      </c>
      <c r="F194" t="s">
        <v>175</v>
      </c>
      <c r="G194">
        <v>100000</v>
      </c>
      <c r="H194" s="3">
        <v>52811</v>
      </c>
      <c r="I194" s="3">
        <f t="shared" si="26"/>
        <v>47189</v>
      </c>
      <c r="J194" s="3">
        <v>436039</v>
      </c>
      <c r="K194" s="3">
        <v>410367</v>
      </c>
      <c r="L194" s="9">
        <f t="shared" si="38"/>
        <v>0.52810999999999997</v>
      </c>
      <c r="M194" s="5">
        <f t="shared" si="39"/>
        <v>4.3603899999999998</v>
      </c>
      <c r="N194" s="5">
        <f t="shared" si="40"/>
        <v>4.1036700000000002</v>
      </c>
      <c r="O194" s="5">
        <f t="shared" si="41"/>
        <v>4.315139999999996</v>
      </c>
      <c r="P194" s="4">
        <f t="shared" si="42"/>
        <v>38.276820000000043</v>
      </c>
    </row>
    <row r="195" spans="1:16" x14ac:dyDescent="0.5">
      <c r="A195" t="s">
        <v>178</v>
      </c>
      <c r="B195" t="str">
        <f t="shared" si="44"/>
        <v>RNG40xERR60xARM80</v>
      </c>
      <c r="C195">
        <v>40</v>
      </c>
      <c r="D195">
        <v>60</v>
      </c>
      <c r="E195">
        <v>80</v>
      </c>
      <c r="F195" t="s">
        <v>175</v>
      </c>
      <c r="G195">
        <v>100000</v>
      </c>
      <c r="H195" s="3">
        <v>49962</v>
      </c>
      <c r="I195" s="3">
        <f t="shared" ref="I195:I209" si="45">G195-H195</f>
        <v>50038</v>
      </c>
      <c r="J195" s="3">
        <v>434209</v>
      </c>
      <c r="K195" s="3">
        <v>435913</v>
      </c>
      <c r="L195" s="9">
        <f t="shared" si="38"/>
        <v>0.49962000000000001</v>
      </c>
      <c r="M195" s="5">
        <f t="shared" si="39"/>
        <v>4.3420899999999998</v>
      </c>
      <c r="N195" s="5">
        <f t="shared" si="40"/>
        <v>4.3591300000000004</v>
      </c>
      <c r="O195" s="5">
        <f t="shared" si="41"/>
        <v>-0.30023999999999751</v>
      </c>
      <c r="P195" s="4">
        <f t="shared" si="42"/>
        <v>-3.1076999999999995</v>
      </c>
    </row>
    <row r="196" spans="1:16" x14ac:dyDescent="0.5">
      <c r="A196" t="s">
        <v>178</v>
      </c>
      <c r="B196" t="str">
        <f t="shared" si="44"/>
        <v>RNG60xERR60xARM80</v>
      </c>
      <c r="C196">
        <v>60</v>
      </c>
      <c r="D196">
        <v>60</v>
      </c>
      <c r="E196">
        <v>80</v>
      </c>
      <c r="F196" t="s">
        <v>175</v>
      </c>
      <c r="G196">
        <v>100000</v>
      </c>
      <c r="H196" s="3">
        <v>50427</v>
      </c>
      <c r="I196" s="3">
        <f t="shared" si="45"/>
        <v>49573</v>
      </c>
      <c r="J196" s="3">
        <v>434917</v>
      </c>
      <c r="K196" s="3">
        <v>431192</v>
      </c>
      <c r="L196" s="9">
        <f t="shared" si="38"/>
        <v>0.50427</v>
      </c>
      <c r="M196" s="5">
        <f t="shared" si="39"/>
        <v>4.34917</v>
      </c>
      <c r="N196" s="5">
        <f t="shared" si="40"/>
        <v>4.3119199999999998</v>
      </c>
      <c r="O196" s="5">
        <f t="shared" si="41"/>
        <v>0.45306000000000046</v>
      </c>
      <c r="P196" s="4">
        <f t="shared" si="42"/>
        <v>4.5403200000001043</v>
      </c>
    </row>
    <row r="197" spans="1:16" x14ac:dyDescent="0.5">
      <c r="A197" t="s">
        <v>178</v>
      </c>
      <c r="B197" t="str">
        <f t="shared" si="44"/>
        <v>RNG80xERR60xARM80</v>
      </c>
      <c r="C197">
        <v>80</v>
      </c>
      <c r="D197">
        <v>60</v>
      </c>
      <c r="E197">
        <v>80</v>
      </c>
      <c r="F197" t="s">
        <v>175</v>
      </c>
      <c r="G197">
        <v>100000</v>
      </c>
      <c r="H197" s="3">
        <v>52524</v>
      </c>
      <c r="I197" s="3">
        <f t="shared" si="45"/>
        <v>47476</v>
      </c>
      <c r="J197" s="3">
        <v>432848</v>
      </c>
      <c r="K197" s="3">
        <v>409602</v>
      </c>
      <c r="L197" s="9">
        <f t="shared" si="38"/>
        <v>0.52524000000000004</v>
      </c>
      <c r="M197" s="5">
        <f t="shared" si="39"/>
        <v>4.3284799999999999</v>
      </c>
      <c r="N197" s="5">
        <f t="shared" si="40"/>
        <v>4.0960200000000002</v>
      </c>
      <c r="O197" s="5">
        <f t="shared" si="41"/>
        <v>3.8502000000000076</v>
      </c>
      <c r="P197" s="4">
        <f t="shared" si="42"/>
        <v>39.516120000000029</v>
      </c>
    </row>
    <row r="198" spans="1:16" x14ac:dyDescent="0.5">
      <c r="A198" t="s">
        <v>178</v>
      </c>
      <c r="B198" t="str">
        <f t="shared" si="44"/>
        <v>RNG40xERR80xARM80</v>
      </c>
      <c r="C198">
        <v>40</v>
      </c>
      <c r="D198">
        <v>80</v>
      </c>
      <c r="E198">
        <v>80</v>
      </c>
      <c r="F198" t="s">
        <v>175</v>
      </c>
      <c r="G198">
        <v>100000</v>
      </c>
      <c r="H198" s="3">
        <v>49823</v>
      </c>
      <c r="I198" s="3">
        <f t="shared" si="45"/>
        <v>50177</v>
      </c>
      <c r="J198" s="3">
        <v>434802</v>
      </c>
      <c r="K198" s="3">
        <v>437734</v>
      </c>
      <c r="L198" s="9">
        <f t="shared" si="38"/>
        <v>0.49823000000000001</v>
      </c>
      <c r="M198" s="5">
        <f t="shared" si="39"/>
        <v>4.34802</v>
      </c>
      <c r="N198" s="5">
        <f t="shared" si="40"/>
        <v>4.3773400000000002</v>
      </c>
      <c r="O198" s="5">
        <f t="shared" si="41"/>
        <v>-0.52541999999999789</v>
      </c>
      <c r="P198" s="4">
        <f t="shared" si="42"/>
        <v>-6.0577199999999731</v>
      </c>
    </row>
    <row r="199" spans="1:16" x14ac:dyDescent="0.5">
      <c r="A199" t="s">
        <v>178</v>
      </c>
      <c r="B199" t="str">
        <f t="shared" si="44"/>
        <v>RNG60xERR80xARM80</v>
      </c>
      <c r="C199">
        <v>60</v>
      </c>
      <c r="D199">
        <v>80</v>
      </c>
      <c r="E199">
        <v>80</v>
      </c>
      <c r="F199" t="s">
        <v>175</v>
      </c>
      <c r="G199">
        <v>100000</v>
      </c>
      <c r="H199" s="3">
        <v>50400</v>
      </c>
      <c r="I199" s="3">
        <f t="shared" si="45"/>
        <v>49600</v>
      </c>
      <c r="J199" s="3">
        <v>433071</v>
      </c>
      <c r="K199" s="3">
        <v>429270</v>
      </c>
      <c r="L199" s="9">
        <f t="shared" si="38"/>
        <v>0.504</v>
      </c>
      <c r="M199" s="5">
        <f t="shared" si="39"/>
        <v>4.3307099999999998</v>
      </c>
      <c r="N199" s="5">
        <f t="shared" si="40"/>
        <v>4.2927</v>
      </c>
      <c r="O199" s="5">
        <f t="shared" si="41"/>
        <v>0.40932000000000168</v>
      </c>
      <c r="P199" s="4">
        <f t="shared" si="42"/>
        <v>7.6539600000000707</v>
      </c>
    </row>
    <row r="200" spans="1:16" x14ac:dyDescent="0.5">
      <c r="A200" t="s">
        <v>178</v>
      </c>
      <c r="B200" t="str">
        <f t="shared" si="44"/>
        <v>RNG80xERR80xARM80</v>
      </c>
      <c r="C200">
        <v>80</v>
      </c>
      <c r="D200">
        <v>80</v>
      </c>
      <c r="E200">
        <v>80</v>
      </c>
      <c r="F200" t="s">
        <v>175</v>
      </c>
      <c r="G200">
        <v>100000</v>
      </c>
      <c r="H200" s="3">
        <v>52585</v>
      </c>
      <c r="I200" s="3">
        <f t="shared" si="45"/>
        <v>47415</v>
      </c>
      <c r="J200" s="3">
        <v>433348</v>
      </c>
      <c r="K200" s="3">
        <v>409532</v>
      </c>
      <c r="L200" s="9">
        <f t="shared" si="38"/>
        <v>0.52585000000000004</v>
      </c>
      <c r="M200" s="5">
        <f t="shared" si="39"/>
        <v>4.3334799999999998</v>
      </c>
      <c r="N200" s="5">
        <f t="shared" si="40"/>
        <v>4.0953200000000001</v>
      </c>
      <c r="O200" s="5">
        <f t="shared" si="41"/>
        <v>3.9490200000000075</v>
      </c>
      <c r="P200" s="4">
        <f t="shared" si="42"/>
        <v>39.629520000000056</v>
      </c>
    </row>
    <row r="201" spans="1:16" x14ac:dyDescent="0.5">
      <c r="A201" t="s">
        <v>178</v>
      </c>
      <c r="B201" t="str">
        <f t="shared" si="44"/>
        <v>RNG70xERR60xARM40</v>
      </c>
      <c r="C201">
        <v>70</v>
      </c>
      <c r="D201">
        <v>60</v>
      </c>
      <c r="E201">
        <v>40</v>
      </c>
      <c r="F201" t="s">
        <v>175</v>
      </c>
      <c r="G201">
        <v>100000</v>
      </c>
      <c r="H201" s="3">
        <v>51241</v>
      </c>
      <c r="I201" s="3">
        <f t="shared" si="45"/>
        <v>48759</v>
      </c>
      <c r="J201" s="3">
        <v>433438</v>
      </c>
      <c r="K201" s="3">
        <v>419951</v>
      </c>
      <c r="L201" s="9">
        <f t="shared" si="38"/>
        <v>0.51241000000000003</v>
      </c>
      <c r="M201" s="5">
        <f t="shared" si="39"/>
        <v>4.3343800000000003</v>
      </c>
      <c r="N201" s="5">
        <f t="shared" si="40"/>
        <v>4.1995100000000001</v>
      </c>
      <c r="O201" s="5">
        <f t="shared" si="41"/>
        <v>1.7717400000000063</v>
      </c>
      <c r="P201" s="4">
        <f t="shared" si="42"/>
        <v>22.75074000000005</v>
      </c>
    </row>
    <row r="202" spans="1:16" x14ac:dyDescent="0.5">
      <c r="A202" t="s">
        <v>178</v>
      </c>
      <c r="B202" t="str">
        <f t="shared" si="44"/>
        <v>RNG70xERR60xARM60</v>
      </c>
      <c r="C202">
        <v>70</v>
      </c>
      <c r="D202">
        <v>60</v>
      </c>
      <c r="E202">
        <v>60</v>
      </c>
      <c r="F202" t="s">
        <v>175</v>
      </c>
      <c r="G202">
        <v>100000</v>
      </c>
      <c r="H202" s="3">
        <v>52301</v>
      </c>
      <c r="I202" s="3">
        <f t="shared" si="45"/>
        <v>47699</v>
      </c>
      <c r="J202" s="3">
        <v>433853</v>
      </c>
      <c r="K202" s="3">
        <v>411876</v>
      </c>
      <c r="L202" s="9">
        <f t="shared" si="38"/>
        <v>0.52300999999999997</v>
      </c>
      <c r="M202" s="5">
        <f t="shared" si="39"/>
        <v>4.3385300000000004</v>
      </c>
      <c r="N202" s="5">
        <f t="shared" si="40"/>
        <v>4.11876</v>
      </c>
      <c r="O202" s="5">
        <f t="shared" si="41"/>
        <v>3.4889399999999968</v>
      </c>
      <c r="P202" s="4">
        <f t="shared" si="42"/>
        <v>35.83224000000007</v>
      </c>
    </row>
    <row r="203" spans="1:16" x14ac:dyDescent="0.5">
      <c r="A203" t="s">
        <v>178</v>
      </c>
      <c r="B203" t="str">
        <f t="shared" si="44"/>
        <v>RNG70xERR60xARM80</v>
      </c>
      <c r="C203">
        <v>70</v>
      </c>
      <c r="D203">
        <v>60</v>
      </c>
      <c r="E203">
        <v>80</v>
      </c>
      <c r="F203" t="s">
        <v>175</v>
      </c>
      <c r="G203">
        <v>100000</v>
      </c>
      <c r="H203" s="3">
        <v>52684</v>
      </c>
      <c r="I203" s="3">
        <f t="shared" si="45"/>
        <v>47316</v>
      </c>
      <c r="J203" s="3">
        <v>433986</v>
      </c>
      <c r="K203" s="3">
        <v>409775</v>
      </c>
      <c r="L203" s="9">
        <f t="shared" si="38"/>
        <v>0.52683999999999997</v>
      </c>
      <c r="M203" s="5">
        <f t="shared" si="39"/>
        <v>4.3398599999999998</v>
      </c>
      <c r="N203" s="5">
        <f t="shared" si="40"/>
        <v>4.0977499999999996</v>
      </c>
      <c r="O203" s="5">
        <f t="shared" si="41"/>
        <v>4.1093999999999973</v>
      </c>
      <c r="P203" s="4">
        <f t="shared" si="42"/>
        <v>39.235860000000137</v>
      </c>
    </row>
    <row r="204" spans="1:16" x14ac:dyDescent="0.5">
      <c r="A204" t="s">
        <v>178</v>
      </c>
      <c r="B204" t="str">
        <f t="shared" si="44"/>
        <v>RNG65xERR60xARM40</v>
      </c>
      <c r="C204">
        <v>65</v>
      </c>
      <c r="D204">
        <v>60</v>
      </c>
      <c r="E204">
        <v>40</v>
      </c>
      <c r="F204" t="s">
        <v>175</v>
      </c>
      <c r="G204">
        <v>100000</v>
      </c>
      <c r="H204" s="3">
        <v>51182</v>
      </c>
      <c r="I204" s="3">
        <f t="shared" si="45"/>
        <v>48818</v>
      </c>
      <c r="J204" s="3">
        <v>432614</v>
      </c>
      <c r="K204" s="3">
        <v>419790</v>
      </c>
      <c r="L204" s="9">
        <f t="shared" si="38"/>
        <v>0.51182000000000005</v>
      </c>
      <c r="M204" s="5">
        <f t="shared" si="39"/>
        <v>4.3261399999999997</v>
      </c>
      <c r="N204" s="5">
        <f t="shared" si="40"/>
        <v>4.1978999999999997</v>
      </c>
      <c r="O204" s="5">
        <f t="shared" si="41"/>
        <v>1.6761600000000096</v>
      </c>
      <c r="P204" s="4">
        <f t="shared" si="42"/>
        <v>23.011560000000106</v>
      </c>
    </row>
    <row r="205" spans="1:16" x14ac:dyDescent="0.5">
      <c r="A205" t="s">
        <v>178</v>
      </c>
      <c r="B205" t="str">
        <f t="shared" si="44"/>
        <v>RNG65xERR60xARM60</v>
      </c>
      <c r="C205">
        <v>65</v>
      </c>
      <c r="D205">
        <v>60</v>
      </c>
      <c r="E205">
        <v>60</v>
      </c>
      <c r="F205" t="s">
        <v>175</v>
      </c>
      <c r="G205">
        <v>100000</v>
      </c>
      <c r="H205" s="3">
        <v>51975</v>
      </c>
      <c r="I205" s="3">
        <f t="shared" si="45"/>
        <v>48025</v>
      </c>
      <c r="J205" s="3">
        <v>433801</v>
      </c>
      <c r="K205" s="3">
        <v>415251</v>
      </c>
      <c r="L205" s="9">
        <f t="shared" si="38"/>
        <v>0.51975000000000005</v>
      </c>
      <c r="M205" s="5">
        <f t="shared" si="39"/>
        <v>4.3380099999999997</v>
      </c>
      <c r="N205" s="5">
        <f t="shared" si="40"/>
        <v>4.1525100000000004</v>
      </c>
      <c r="O205" s="5">
        <f t="shared" si="41"/>
        <v>2.9608200000000084</v>
      </c>
      <c r="P205" s="4">
        <f t="shared" si="42"/>
        <v>30.364740000000005</v>
      </c>
    </row>
    <row r="206" spans="1:16" x14ac:dyDescent="0.5">
      <c r="A206" t="s">
        <v>178</v>
      </c>
      <c r="B206" t="str">
        <f t="shared" si="44"/>
        <v>RNG65xERR60xARM80</v>
      </c>
      <c r="C206">
        <v>65</v>
      </c>
      <c r="D206">
        <v>60</v>
      </c>
      <c r="E206">
        <v>80</v>
      </c>
      <c r="F206" t="s">
        <v>175</v>
      </c>
      <c r="G206">
        <v>100000</v>
      </c>
      <c r="H206" s="3">
        <v>52680</v>
      </c>
      <c r="I206" s="3">
        <f t="shared" si="45"/>
        <v>47320</v>
      </c>
      <c r="J206" s="3">
        <v>434466</v>
      </c>
      <c r="K206" s="3">
        <v>409611</v>
      </c>
      <c r="L206" s="9">
        <f t="shared" si="38"/>
        <v>0.52680000000000005</v>
      </c>
      <c r="M206" s="5">
        <f t="shared" si="39"/>
        <v>4.3446600000000002</v>
      </c>
      <c r="N206" s="5">
        <f t="shared" si="40"/>
        <v>4.0961100000000004</v>
      </c>
      <c r="O206" s="5">
        <f t="shared" si="41"/>
        <v>4.1029200000000081</v>
      </c>
      <c r="P206" s="4">
        <f t="shared" si="42"/>
        <v>39.501540000000006</v>
      </c>
    </row>
    <row r="207" spans="1:16" x14ac:dyDescent="0.5">
      <c r="A207" t="s">
        <v>178</v>
      </c>
      <c r="B207" t="str">
        <f t="shared" si="44"/>
        <v>RNG45xERR60xARM60</v>
      </c>
      <c r="C207">
        <v>45</v>
      </c>
      <c r="D207">
        <v>60</v>
      </c>
      <c r="E207">
        <v>60</v>
      </c>
      <c r="F207" t="s">
        <v>175</v>
      </c>
      <c r="G207">
        <v>100000</v>
      </c>
      <c r="H207" s="3">
        <v>49302</v>
      </c>
      <c r="I207" s="3">
        <f t="shared" si="45"/>
        <v>50698</v>
      </c>
      <c r="J207" s="3">
        <v>434539</v>
      </c>
      <c r="K207" s="3">
        <v>440957</v>
      </c>
      <c r="L207" s="9">
        <f t="shared" si="38"/>
        <v>0.49302000000000001</v>
      </c>
      <c r="M207" s="5">
        <f t="shared" si="39"/>
        <v>4.3453900000000001</v>
      </c>
      <c r="N207" s="5">
        <f t="shared" si="40"/>
        <v>4.4095700000000004</v>
      </c>
      <c r="O207" s="5">
        <f t="shared" si="41"/>
        <v>-1.3694399999999967</v>
      </c>
      <c r="P207" s="4">
        <f t="shared" si="42"/>
        <v>-11.278980000000006</v>
      </c>
    </row>
    <row r="208" spans="1:16" x14ac:dyDescent="0.5">
      <c r="A208" t="s">
        <v>178</v>
      </c>
      <c r="B208" t="str">
        <f t="shared" si="44"/>
        <v>RNG50xERR60xARM60</v>
      </c>
      <c r="C208">
        <v>50</v>
      </c>
      <c r="D208">
        <v>60</v>
      </c>
      <c r="E208">
        <v>60</v>
      </c>
      <c r="F208" t="s">
        <v>175</v>
      </c>
      <c r="G208">
        <v>100000</v>
      </c>
      <c r="H208" s="3">
        <v>49379</v>
      </c>
      <c r="I208" s="3">
        <f t="shared" si="45"/>
        <v>50621</v>
      </c>
      <c r="J208" s="3">
        <v>434833</v>
      </c>
      <c r="K208" s="3">
        <v>440526</v>
      </c>
      <c r="L208" s="9">
        <f t="shared" si="38"/>
        <v>0.49379000000000001</v>
      </c>
      <c r="M208" s="5">
        <f t="shared" si="39"/>
        <v>4.3483299999999998</v>
      </c>
      <c r="N208" s="5">
        <f t="shared" si="40"/>
        <v>4.4052600000000002</v>
      </c>
      <c r="O208" s="5">
        <f t="shared" si="41"/>
        <v>-1.2446999999999977</v>
      </c>
      <c r="P208" s="4">
        <f t="shared" si="42"/>
        <v>-10.580759999999964</v>
      </c>
    </row>
    <row r="209" spans="1:16" x14ac:dyDescent="0.5">
      <c r="A209" t="s">
        <v>178</v>
      </c>
      <c r="B209" t="str">
        <f t="shared" si="44"/>
        <v>RNG55xERR60xARM60</v>
      </c>
      <c r="C209">
        <v>55</v>
      </c>
      <c r="D209">
        <v>60</v>
      </c>
      <c r="E209">
        <v>60</v>
      </c>
      <c r="F209" t="s">
        <v>175</v>
      </c>
      <c r="G209">
        <v>100000</v>
      </c>
      <c r="H209" s="3">
        <v>49451</v>
      </c>
      <c r="I209" s="3">
        <f t="shared" si="45"/>
        <v>50549</v>
      </c>
      <c r="J209" s="3">
        <v>434265</v>
      </c>
      <c r="K209" s="3">
        <v>440136</v>
      </c>
      <c r="L209" s="9">
        <f t="shared" si="38"/>
        <v>0.49451000000000001</v>
      </c>
      <c r="M209" s="5">
        <f t="shared" si="39"/>
        <v>4.3426499999999999</v>
      </c>
      <c r="N209" s="5">
        <f t="shared" si="40"/>
        <v>4.4013600000000004</v>
      </c>
      <c r="O209" s="5">
        <f t="shared" si="41"/>
        <v>-1.1280599999999981</v>
      </c>
      <c r="P209" s="4">
        <f t="shared" si="42"/>
        <v>-9.9489599999999978</v>
      </c>
    </row>
    <row r="210" spans="1:16" x14ac:dyDescent="0.5">
      <c r="A210" s="18" t="s">
        <v>180</v>
      </c>
      <c r="B210" s="18" t="s">
        <v>165</v>
      </c>
      <c r="C210" s="18">
        <v>50</v>
      </c>
      <c r="D210" s="18">
        <v>45</v>
      </c>
      <c r="E210" s="18">
        <v>50</v>
      </c>
      <c r="F210" s="18" t="s">
        <v>175</v>
      </c>
      <c r="G210" s="18">
        <v>100000</v>
      </c>
      <c r="H210" s="19">
        <v>50147.333333333336</v>
      </c>
      <c r="I210" s="19">
        <v>49852.666666666664</v>
      </c>
      <c r="J210" s="19">
        <v>434431.33333333331</v>
      </c>
      <c r="K210" s="19">
        <v>433994.66666666669</v>
      </c>
      <c r="L210" s="20">
        <v>0.50147333333333333</v>
      </c>
      <c r="M210" s="21">
        <v>4.344313333333333</v>
      </c>
      <c r="N210" s="21">
        <v>4.3399466666666671</v>
      </c>
      <c r="O210" s="21" t="s">
        <v>50</v>
      </c>
      <c r="P210" s="22" t="s">
        <v>50</v>
      </c>
    </row>
    <row r="211" spans="1:16" x14ac:dyDescent="0.5">
      <c r="A211" t="s">
        <v>180</v>
      </c>
      <c r="B211" t="str">
        <f>_xlfn.CONCAT("RNG",C211,"xERR",D211,"xARM",E211)</f>
        <v>RNG40xERR40xARM40</v>
      </c>
      <c r="C211">
        <v>40</v>
      </c>
      <c r="D211">
        <v>40</v>
      </c>
      <c r="E211">
        <v>40</v>
      </c>
      <c r="F211" t="s">
        <v>175</v>
      </c>
      <c r="G211">
        <v>100000</v>
      </c>
      <c r="H211" s="3">
        <v>49373</v>
      </c>
      <c r="I211" s="3">
        <f t="shared" ref="I211:I240" si="46">G211-H211</f>
        <v>50627</v>
      </c>
      <c r="J211" s="3">
        <v>435057</v>
      </c>
      <c r="K211" s="3">
        <v>443397</v>
      </c>
      <c r="L211" s="9">
        <f t="shared" ref="L211:L240" si="47">H211/G211</f>
        <v>0.49373</v>
      </c>
      <c r="M211" s="5">
        <f t="shared" ref="M211:M240" si="48">J211/G211</f>
        <v>4.3505700000000003</v>
      </c>
      <c r="N211" s="5">
        <f t="shared" ref="N211:N240" si="49">K211/G211</f>
        <v>4.4339700000000004</v>
      </c>
      <c r="O211" s="5">
        <f t="shared" ref="O211:O240" si="50">(L211-$L$7)*162</f>
        <v>-1.2544199999999985</v>
      </c>
      <c r="P211" s="4">
        <f t="shared" ref="P211:P240" si="51">-(N211-$N$7)*162</f>
        <v>-15.231780000000002</v>
      </c>
    </row>
    <row r="212" spans="1:16" x14ac:dyDescent="0.5">
      <c r="A212" t="s">
        <v>180</v>
      </c>
      <c r="B212" t="str">
        <f t="shared" ref="B212:B219" si="52">_xlfn.CONCAT("RNG",C212,"xERR",D212,"xARM",E212)</f>
        <v>RNG60xERR40xARM40</v>
      </c>
      <c r="C212">
        <v>60</v>
      </c>
      <c r="D212">
        <v>40</v>
      </c>
      <c r="E212">
        <v>40</v>
      </c>
      <c r="F212" t="s">
        <v>175</v>
      </c>
      <c r="G212">
        <v>100000</v>
      </c>
      <c r="H212" s="3">
        <v>50864</v>
      </c>
      <c r="I212" s="3">
        <f t="shared" si="46"/>
        <v>49136</v>
      </c>
      <c r="J212" s="3">
        <v>433383</v>
      </c>
      <c r="K212" s="3">
        <v>424960</v>
      </c>
      <c r="L212" s="9">
        <f t="shared" si="47"/>
        <v>0.50863999999999998</v>
      </c>
      <c r="M212" s="5">
        <f t="shared" si="48"/>
        <v>4.3338299999999998</v>
      </c>
      <c r="N212" s="5">
        <f t="shared" si="49"/>
        <v>4.2496</v>
      </c>
      <c r="O212" s="5">
        <f t="shared" si="50"/>
        <v>1.160999999999998</v>
      </c>
      <c r="P212" s="4">
        <f t="shared" si="51"/>
        <v>14.636160000000057</v>
      </c>
    </row>
    <row r="213" spans="1:16" x14ac:dyDescent="0.5">
      <c r="A213" t="s">
        <v>180</v>
      </c>
      <c r="B213" t="str">
        <f t="shared" si="52"/>
        <v>RNG80xERR40xARM40</v>
      </c>
      <c r="C213">
        <v>80</v>
      </c>
      <c r="D213">
        <v>40</v>
      </c>
      <c r="E213">
        <v>40</v>
      </c>
      <c r="F213" t="s">
        <v>175</v>
      </c>
      <c r="G213">
        <v>100000</v>
      </c>
      <c r="H213" s="3">
        <v>50907</v>
      </c>
      <c r="I213" s="3">
        <f t="shared" si="46"/>
        <v>49093</v>
      </c>
      <c r="J213" s="3">
        <v>432717</v>
      </c>
      <c r="K213" s="3">
        <v>424402</v>
      </c>
      <c r="L213" s="9">
        <f t="shared" si="47"/>
        <v>0.50907000000000002</v>
      </c>
      <c r="M213" s="5">
        <f t="shared" si="48"/>
        <v>4.3271699999999997</v>
      </c>
      <c r="N213" s="5">
        <f t="shared" si="49"/>
        <v>4.2440199999999999</v>
      </c>
      <c r="O213" s="5">
        <f t="shared" si="50"/>
        <v>1.2306600000000048</v>
      </c>
      <c r="P213" s="4">
        <f t="shared" si="51"/>
        <v>15.54012000000008</v>
      </c>
    </row>
    <row r="214" spans="1:16" x14ac:dyDescent="0.5">
      <c r="A214" t="s">
        <v>180</v>
      </c>
      <c r="B214" t="str">
        <f t="shared" si="52"/>
        <v>RNG40xERR60xARM40</v>
      </c>
      <c r="C214">
        <v>40</v>
      </c>
      <c r="D214">
        <v>60</v>
      </c>
      <c r="E214">
        <v>40</v>
      </c>
      <c r="F214" t="s">
        <v>175</v>
      </c>
      <c r="G214">
        <v>100000</v>
      </c>
      <c r="H214" s="3">
        <v>49376</v>
      </c>
      <c r="I214" s="3">
        <f t="shared" si="46"/>
        <v>50624</v>
      </c>
      <c r="J214" s="3">
        <v>434144</v>
      </c>
      <c r="K214" s="3">
        <v>440559</v>
      </c>
      <c r="L214" s="9">
        <f t="shared" si="47"/>
        <v>0.49375999999999998</v>
      </c>
      <c r="M214" s="5">
        <f t="shared" si="48"/>
        <v>4.3414400000000004</v>
      </c>
      <c r="N214" s="5">
        <f t="shared" si="49"/>
        <v>4.4055900000000001</v>
      </c>
      <c r="O214" s="5">
        <f t="shared" si="50"/>
        <v>-1.2495600000000027</v>
      </c>
      <c r="P214" s="4">
        <f t="shared" si="51"/>
        <v>-10.634219999999955</v>
      </c>
    </row>
    <row r="215" spans="1:16" x14ac:dyDescent="0.5">
      <c r="A215" t="s">
        <v>180</v>
      </c>
      <c r="B215" t="str">
        <f t="shared" si="52"/>
        <v>RNG60xERR60xARM40</v>
      </c>
      <c r="C215">
        <v>60</v>
      </c>
      <c r="D215">
        <v>60</v>
      </c>
      <c r="E215">
        <v>40</v>
      </c>
      <c r="F215" t="s">
        <v>175</v>
      </c>
      <c r="G215">
        <v>100000</v>
      </c>
      <c r="H215" s="3">
        <v>51167</v>
      </c>
      <c r="I215" s="3">
        <f t="shared" si="46"/>
        <v>48833</v>
      </c>
      <c r="J215" s="3">
        <v>435363</v>
      </c>
      <c r="K215" s="3">
        <v>424113</v>
      </c>
      <c r="L215" s="9">
        <f t="shared" si="47"/>
        <v>0.51166999999999996</v>
      </c>
      <c r="M215" s="5">
        <f t="shared" si="48"/>
        <v>4.3536299999999999</v>
      </c>
      <c r="N215" s="5">
        <f t="shared" si="49"/>
        <v>4.2411300000000001</v>
      </c>
      <c r="O215" s="5">
        <f t="shared" si="50"/>
        <v>1.6518599999999943</v>
      </c>
      <c r="P215" s="4">
        <f t="shared" si="51"/>
        <v>16.008300000000055</v>
      </c>
    </row>
    <row r="216" spans="1:16" x14ac:dyDescent="0.5">
      <c r="A216" t="s">
        <v>180</v>
      </c>
      <c r="B216" t="str">
        <f t="shared" si="52"/>
        <v>RNG80xERR60xARM40</v>
      </c>
      <c r="C216">
        <v>80</v>
      </c>
      <c r="D216">
        <v>60</v>
      </c>
      <c r="E216">
        <v>40</v>
      </c>
      <c r="F216" t="s">
        <v>175</v>
      </c>
      <c r="G216">
        <v>100000</v>
      </c>
      <c r="H216" s="3">
        <v>51024</v>
      </c>
      <c r="I216" s="3">
        <f t="shared" si="46"/>
        <v>48976</v>
      </c>
      <c r="J216" s="3">
        <v>434083</v>
      </c>
      <c r="K216" s="3">
        <v>424462</v>
      </c>
      <c r="L216" s="9">
        <f t="shared" si="47"/>
        <v>0.51024000000000003</v>
      </c>
      <c r="M216" s="5">
        <f t="shared" si="48"/>
        <v>4.3408300000000004</v>
      </c>
      <c r="N216" s="5">
        <f t="shared" si="49"/>
        <v>4.2446200000000003</v>
      </c>
      <c r="O216" s="5">
        <f t="shared" si="50"/>
        <v>1.4202000000000055</v>
      </c>
      <c r="P216" s="4">
        <f t="shared" si="51"/>
        <v>15.442920000000019</v>
      </c>
    </row>
    <row r="217" spans="1:16" x14ac:dyDescent="0.5">
      <c r="A217" t="s">
        <v>180</v>
      </c>
      <c r="B217" t="str">
        <f t="shared" si="52"/>
        <v>RNG40xERR80xARM40</v>
      </c>
      <c r="C217">
        <v>40</v>
      </c>
      <c r="D217">
        <v>80</v>
      </c>
      <c r="E217">
        <v>40</v>
      </c>
      <c r="F217" t="s">
        <v>175</v>
      </c>
      <c r="G217">
        <v>100000</v>
      </c>
      <c r="H217" s="3">
        <v>49182</v>
      </c>
      <c r="I217" s="3">
        <f t="shared" si="46"/>
        <v>50818</v>
      </c>
      <c r="J217" s="3">
        <v>433590</v>
      </c>
      <c r="K217" s="3">
        <v>441486</v>
      </c>
      <c r="L217" s="9">
        <f t="shared" si="47"/>
        <v>0.49181999999999998</v>
      </c>
      <c r="M217" s="5">
        <f t="shared" si="48"/>
        <v>4.3358999999999996</v>
      </c>
      <c r="N217" s="5">
        <f t="shared" si="49"/>
        <v>4.41486</v>
      </c>
      <c r="O217" s="5">
        <f t="shared" si="50"/>
        <v>-1.5638400000000021</v>
      </c>
      <c r="P217" s="4">
        <f t="shared" si="51"/>
        <v>-12.135959999999937</v>
      </c>
    </row>
    <row r="218" spans="1:16" x14ac:dyDescent="0.5">
      <c r="A218" t="s">
        <v>180</v>
      </c>
      <c r="B218" t="str">
        <f t="shared" si="52"/>
        <v>RNG60xERR80xARM40</v>
      </c>
      <c r="C218">
        <v>60</v>
      </c>
      <c r="D218">
        <v>80</v>
      </c>
      <c r="E218">
        <v>40</v>
      </c>
      <c r="F218" t="s">
        <v>175</v>
      </c>
      <c r="G218">
        <v>100000</v>
      </c>
      <c r="H218" s="3">
        <v>50907</v>
      </c>
      <c r="I218" s="3">
        <f t="shared" si="46"/>
        <v>49093</v>
      </c>
      <c r="J218" s="3">
        <v>433786</v>
      </c>
      <c r="K218" s="3">
        <v>423917</v>
      </c>
      <c r="L218" s="9">
        <f t="shared" si="47"/>
        <v>0.50907000000000002</v>
      </c>
      <c r="M218" s="5">
        <f t="shared" si="48"/>
        <v>4.33786</v>
      </c>
      <c r="N218" s="5">
        <f t="shared" si="49"/>
        <v>4.2391699999999997</v>
      </c>
      <c r="O218" s="5">
        <f t="shared" si="50"/>
        <v>1.2306600000000048</v>
      </c>
      <c r="P218" s="4">
        <f t="shared" si="51"/>
        <v>16.325820000000121</v>
      </c>
    </row>
    <row r="219" spans="1:16" x14ac:dyDescent="0.5">
      <c r="A219" t="s">
        <v>180</v>
      </c>
      <c r="B219" t="str">
        <f t="shared" si="52"/>
        <v>RNG80xERR80xARM40</v>
      </c>
      <c r="C219">
        <v>80</v>
      </c>
      <c r="D219">
        <v>80</v>
      </c>
      <c r="E219">
        <v>40</v>
      </c>
      <c r="F219" t="s">
        <v>175</v>
      </c>
      <c r="G219">
        <v>100000</v>
      </c>
      <c r="H219" s="3">
        <v>51178</v>
      </c>
      <c r="I219" s="3">
        <f t="shared" si="46"/>
        <v>48822</v>
      </c>
      <c r="J219" s="3">
        <v>434132</v>
      </c>
      <c r="K219" s="3">
        <v>424415</v>
      </c>
      <c r="L219" s="9">
        <f t="shared" si="47"/>
        <v>0.51178000000000001</v>
      </c>
      <c r="M219" s="5">
        <f t="shared" si="48"/>
        <v>4.3413199999999996</v>
      </c>
      <c r="N219" s="5">
        <f t="shared" si="49"/>
        <v>4.2441500000000003</v>
      </c>
      <c r="O219" s="5">
        <f t="shared" si="50"/>
        <v>1.6696800000000032</v>
      </c>
      <c r="P219" s="4">
        <f t="shared" si="51"/>
        <v>15.519060000000014</v>
      </c>
    </row>
    <row r="220" spans="1:16" x14ac:dyDescent="0.5">
      <c r="A220" t="s">
        <v>180</v>
      </c>
      <c r="B220" t="str">
        <f>_xlfn.CONCAT("RNG",C220,"xERR",D220,"xARM",E220)</f>
        <v>RNG40xERR40xARM60</v>
      </c>
      <c r="C220">
        <v>40</v>
      </c>
      <c r="D220">
        <v>40</v>
      </c>
      <c r="E220">
        <v>60</v>
      </c>
      <c r="F220" t="s">
        <v>175</v>
      </c>
      <c r="G220">
        <v>100000</v>
      </c>
      <c r="H220" s="3">
        <v>49744</v>
      </c>
      <c r="I220" s="3">
        <f t="shared" si="46"/>
        <v>50256</v>
      </c>
      <c r="J220" s="3">
        <v>435760</v>
      </c>
      <c r="K220" s="3">
        <v>440004</v>
      </c>
      <c r="L220" s="9">
        <f t="shared" si="47"/>
        <v>0.49743999999999999</v>
      </c>
      <c r="M220" s="5">
        <f t="shared" si="48"/>
        <v>4.3575999999999997</v>
      </c>
      <c r="N220" s="5">
        <f t="shared" si="49"/>
        <v>4.4000399999999997</v>
      </c>
      <c r="O220" s="5">
        <f t="shared" si="50"/>
        <v>-0.65339999999999998</v>
      </c>
      <c r="P220" s="4">
        <f t="shared" si="51"/>
        <v>-9.7351199999998919</v>
      </c>
    </row>
    <row r="221" spans="1:16" x14ac:dyDescent="0.5">
      <c r="A221" t="s">
        <v>180</v>
      </c>
      <c r="B221" t="str">
        <f t="shared" ref="B221:B240" si="53">_xlfn.CONCAT("RNG",C221,"xERR",D221,"xARM",E221)</f>
        <v>RNG60xERR40xARM60</v>
      </c>
      <c r="C221">
        <v>60</v>
      </c>
      <c r="D221">
        <v>40</v>
      </c>
      <c r="E221">
        <v>60</v>
      </c>
      <c r="F221" t="s">
        <v>175</v>
      </c>
      <c r="G221">
        <v>100000</v>
      </c>
      <c r="H221" s="3">
        <v>51349</v>
      </c>
      <c r="I221" s="3">
        <f t="shared" si="46"/>
        <v>48651</v>
      </c>
      <c r="J221" s="3">
        <v>433148</v>
      </c>
      <c r="K221" s="3">
        <v>421780</v>
      </c>
      <c r="L221" s="9">
        <f t="shared" si="47"/>
        <v>0.51349</v>
      </c>
      <c r="M221" s="5">
        <f t="shared" si="48"/>
        <v>4.33148</v>
      </c>
      <c r="N221" s="5">
        <f t="shared" si="49"/>
        <v>4.2178000000000004</v>
      </c>
      <c r="O221" s="5">
        <f t="shared" si="50"/>
        <v>1.9467000000000014</v>
      </c>
      <c r="P221" s="4">
        <f t="shared" si="51"/>
        <v>19.787759999999992</v>
      </c>
    </row>
    <row r="222" spans="1:16" x14ac:dyDescent="0.5">
      <c r="A222" t="s">
        <v>180</v>
      </c>
      <c r="B222" t="str">
        <f t="shared" si="53"/>
        <v>RNG80xERR40xARM60</v>
      </c>
      <c r="C222">
        <v>80</v>
      </c>
      <c r="D222">
        <v>40</v>
      </c>
      <c r="E222">
        <v>60</v>
      </c>
      <c r="F222" t="s">
        <v>175</v>
      </c>
      <c r="G222">
        <v>100000</v>
      </c>
      <c r="H222" s="3">
        <v>51256</v>
      </c>
      <c r="I222" s="3">
        <f t="shared" si="46"/>
        <v>48744</v>
      </c>
      <c r="J222" s="3">
        <v>433397</v>
      </c>
      <c r="K222" s="3">
        <v>422943</v>
      </c>
      <c r="L222" s="9">
        <f t="shared" si="47"/>
        <v>0.51256000000000002</v>
      </c>
      <c r="M222" s="5">
        <f t="shared" si="48"/>
        <v>4.3339699999999999</v>
      </c>
      <c r="N222" s="5">
        <f t="shared" si="49"/>
        <v>4.2294299999999998</v>
      </c>
      <c r="O222" s="5">
        <f t="shared" si="50"/>
        <v>1.7960400000000036</v>
      </c>
      <c r="P222" s="4">
        <f t="shared" si="51"/>
        <v>17.903700000000097</v>
      </c>
    </row>
    <row r="223" spans="1:16" x14ac:dyDescent="0.5">
      <c r="A223" t="s">
        <v>180</v>
      </c>
      <c r="B223" t="str">
        <f t="shared" si="53"/>
        <v>RNG40xERR60xARM60</v>
      </c>
      <c r="C223">
        <v>40</v>
      </c>
      <c r="D223">
        <v>60</v>
      </c>
      <c r="E223">
        <v>60</v>
      </c>
      <c r="F223" t="s">
        <v>175</v>
      </c>
      <c r="G223">
        <v>100000</v>
      </c>
      <c r="H223" s="3">
        <v>49362</v>
      </c>
      <c r="I223" s="3">
        <f t="shared" si="46"/>
        <v>50638</v>
      </c>
      <c r="J223" s="3">
        <v>433487</v>
      </c>
      <c r="K223" s="3">
        <v>440242</v>
      </c>
      <c r="L223" s="9">
        <f t="shared" si="47"/>
        <v>0.49362</v>
      </c>
      <c r="M223" s="5">
        <f t="shared" si="48"/>
        <v>4.3348699999999996</v>
      </c>
      <c r="N223" s="5">
        <f t="shared" si="49"/>
        <v>4.4024200000000002</v>
      </c>
      <c r="O223" s="5">
        <f t="shared" si="50"/>
        <v>-1.2722399999999983</v>
      </c>
      <c r="P223" s="4">
        <f t="shared" si="51"/>
        <v>-10.120679999999972</v>
      </c>
    </row>
    <row r="224" spans="1:16" x14ac:dyDescent="0.5">
      <c r="A224" t="s">
        <v>180</v>
      </c>
      <c r="B224" t="str">
        <f t="shared" si="53"/>
        <v>RNG60xERR60xARM60</v>
      </c>
      <c r="C224">
        <v>60</v>
      </c>
      <c r="D224">
        <v>60</v>
      </c>
      <c r="E224">
        <v>60</v>
      </c>
      <c r="F224" t="s">
        <v>175</v>
      </c>
      <c r="G224">
        <v>100000</v>
      </c>
      <c r="H224" s="3">
        <v>51183</v>
      </c>
      <c r="I224" s="3">
        <f t="shared" si="46"/>
        <v>48817</v>
      </c>
      <c r="J224" s="3">
        <v>434098</v>
      </c>
      <c r="K224" s="3">
        <v>421984</v>
      </c>
      <c r="L224" s="9">
        <f t="shared" si="47"/>
        <v>0.51183000000000001</v>
      </c>
      <c r="M224" s="5">
        <f t="shared" si="48"/>
        <v>4.3409800000000001</v>
      </c>
      <c r="N224" s="5">
        <f t="shared" si="49"/>
        <v>4.2198399999999996</v>
      </c>
      <c r="O224" s="5">
        <f t="shared" si="50"/>
        <v>1.6777800000000023</v>
      </c>
      <c r="P224" s="4">
        <f t="shared" si="51"/>
        <v>19.457280000000132</v>
      </c>
    </row>
    <row r="225" spans="1:16" x14ac:dyDescent="0.5">
      <c r="A225" t="s">
        <v>180</v>
      </c>
      <c r="B225" t="str">
        <f t="shared" si="53"/>
        <v>RNG80xERR60xARM60</v>
      </c>
      <c r="C225">
        <v>80</v>
      </c>
      <c r="D225">
        <v>60</v>
      </c>
      <c r="E225">
        <v>60</v>
      </c>
      <c r="F225" t="s">
        <v>175</v>
      </c>
      <c r="G225">
        <v>100000</v>
      </c>
      <c r="H225" s="3">
        <v>51466</v>
      </c>
      <c r="I225" s="3">
        <f t="shared" si="46"/>
        <v>48534</v>
      </c>
      <c r="J225" s="3">
        <v>433902</v>
      </c>
      <c r="K225" s="3">
        <v>421458</v>
      </c>
      <c r="L225" s="9">
        <f t="shared" si="47"/>
        <v>0.51466000000000001</v>
      </c>
      <c r="M225" s="5">
        <f t="shared" si="48"/>
        <v>4.3390199999999997</v>
      </c>
      <c r="N225" s="5">
        <f t="shared" si="49"/>
        <v>4.2145799999999998</v>
      </c>
      <c r="O225" s="5">
        <f t="shared" si="50"/>
        <v>2.1362400000000021</v>
      </c>
      <c r="P225" s="4">
        <f t="shared" si="51"/>
        <v>20.309400000000103</v>
      </c>
    </row>
    <row r="226" spans="1:16" x14ac:dyDescent="0.5">
      <c r="A226" t="s">
        <v>180</v>
      </c>
      <c r="B226" t="str">
        <f t="shared" si="53"/>
        <v>RNG40xERR80xARM60</v>
      </c>
      <c r="C226">
        <v>40</v>
      </c>
      <c r="D226">
        <v>80</v>
      </c>
      <c r="E226">
        <v>60</v>
      </c>
      <c r="F226" t="s">
        <v>175</v>
      </c>
      <c r="G226">
        <v>100000</v>
      </c>
      <c r="H226" s="3">
        <v>49295</v>
      </c>
      <c r="I226" s="3">
        <f t="shared" si="46"/>
        <v>50705</v>
      </c>
      <c r="J226" s="3">
        <v>433834</v>
      </c>
      <c r="K226" s="3">
        <v>440629</v>
      </c>
      <c r="L226" s="9">
        <f t="shared" si="47"/>
        <v>0.49295</v>
      </c>
      <c r="M226" s="5">
        <f t="shared" si="48"/>
        <v>4.3383399999999996</v>
      </c>
      <c r="N226" s="5">
        <f t="shared" si="49"/>
        <v>4.4062900000000003</v>
      </c>
      <c r="O226" s="5">
        <f t="shared" si="50"/>
        <v>-1.380779999999999</v>
      </c>
      <c r="P226" s="4">
        <f t="shared" si="51"/>
        <v>-10.747619999999978</v>
      </c>
    </row>
    <row r="227" spans="1:16" x14ac:dyDescent="0.5">
      <c r="A227" t="s">
        <v>180</v>
      </c>
      <c r="B227" t="str">
        <f t="shared" si="53"/>
        <v>RNG60xERR80xARM60</v>
      </c>
      <c r="C227">
        <v>60</v>
      </c>
      <c r="D227">
        <v>80</v>
      </c>
      <c r="E227">
        <v>60</v>
      </c>
      <c r="F227" t="s">
        <v>175</v>
      </c>
      <c r="G227">
        <v>100000</v>
      </c>
      <c r="H227" s="3">
        <v>51332</v>
      </c>
      <c r="I227" s="3">
        <f t="shared" si="46"/>
        <v>48668</v>
      </c>
      <c r="J227" s="3">
        <v>434667</v>
      </c>
      <c r="K227" s="3">
        <v>422035</v>
      </c>
      <c r="L227" s="9">
        <f t="shared" si="47"/>
        <v>0.51332</v>
      </c>
      <c r="M227" s="5">
        <f t="shared" si="48"/>
        <v>4.3466699999999996</v>
      </c>
      <c r="N227" s="5">
        <f t="shared" si="49"/>
        <v>4.2203499999999998</v>
      </c>
      <c r="O227" s="5">
        <f t="shared" si="50"/>
        <v>1.9191600000000009</v>
      </c>
      <c r="P227" s="4">
        <f t="shared" si="51"/>
        <v>19.374660000000091</v>
      </c>
    </row>
    <row r="228" spans="1:16" x14ac:dyDescent="0.5">
      <c r="A228" t="s">
        <v>180</v>
      </c>
      <c r="B228" t="str">
        <f t="shared" si="53"/>
        <v>RNG80xERR80xARM60</v>
      </c>
      <c r="C228">
        <v>80</v>
      </c>
      <c r="D228">
        <v>80</v>
      </c>
      <c r="E228">
        <v>60</v>
      </c>
      <c r="F228" t="s">
        <v>175</v>
      </c>
      <c r="G228">
        <v>100000</v>
      </c>
      <c r="H228" s="3">
        <v>51139</v>
      </c>
      <c r="I228" s="3">
        <f t="shared" si="46"/>
        <v>48861</v>
      </c>
      <c r="J228" s="3">
        <v>434386</v>
      </c>
      <c r="K228" s="3">
        <v>423590</v>
      </c>
      <c r="L228" s="9">
        <f t="shared" si="47"/>
        <v>0.51139000000000001</v>
      </c>
      <c r="M228" s="5">
        <f t="shared" si="48"/>
        <v>4.3438600000000003</v>
      </c>
      <c r="N228" s="5">
        <f t="shared" si="49"/>
        <v>4.2359</v>
      </c>
      <c r="O228" s="5">
        <f t="shared" si="50"/>
        <v>1.6065000000000029</v>
      </c>
      <c r="P228" s="4">
        <f t="shared" si="51"/>
        <v>16.855560000000064</v>
      </c>
    </row>
    <row r="229" spans="1:16" x14ac:dyDescent="0.5">
      <c r="A229" t="s">
        <v>180</v>
      </c>
      <c r="B229" t="str">
        <f t="shared" si="53"/>
        <v>RNG40xERR40xARM80</v>
      </c>
      <c r="C229">
        <v>40</v>
      </c>
      <c r="D229">
        <v>40</v>
      </c>
      <c r="E229">
        <v>80</v>
      </c>
      <c r="F229" t="s">
        <v>175</v>
      </c>
      <c r="G229">
        <v>100000</v>
      </c>
      <c r="H229" s="3">
        <v>49669</v>
      </c>
      <c r="I229" s="3">
        <f t="shared" si="46"/>
        <v>50331</v>
      </c>
      <c r="J229" s="3">
        <v>432917</v>
      </c>
      <c r="K229" s="3">
        <v>436240</v>
      </c>
      <c r="L229" s="9">
        <f t="shared" si="47"/>
        <v>0.49669000000000002</v>
      </c>
      <c r="M229" s="5">
        <f t="shared" si="48"/>
        <v>4.3291700000000004</v>
      </c>
      <c r="N229" s="5">
        <f t="shared" si="49"/>
        <v>4.3624000000000001</v>
      </c>
      <c r="O229" s="5">
        <f t="shared" si="50"/>
        <v>-0.77489999999999559</v>
      </c>
      <c r="P229" s="4">
        <f t="shared" si="51"/>
        <v>-3.6374399999999447</v>
      </c>
    </row>
    <row r="230" spans="1:16" x14ac:dyDescent="0.5">
      <c r="A230" t="s">
        <v>180</v>
      </c>
      <c r="B230" t="str">
        <f t="shared" si="53"/>
        <v>RNG60xERR40xARM80</v>
      </c>
      <c r="C230">
        <v>60</v>
      </c>
      <c r="D230">
        <v>40</v>
      </c>
      <c r="E230">
        <v>80</v>
      </c>
      <c r="F230" t="s">
        <v>175</v>
      </c>
      <c r="G230">
        <v>100000</v>
      </c>
      <c r="H230" s="3">
        <v>51367</v>
      </c>
      <c r="I230" s="3">
        <f t="shared" si="46"/>
        <v>48633</v>
      </c>
      <c r="J230" s="3">
        <v>434365</v>
      </c>
      <c r="K230" s="3">
        <v>421511</v>
      </c>
      <c r="L230" s="9">
        <f t="shared" si="47"/>
        <v>0.51366999999999996</v>
      </c>
      <c r="M230" s="5">
        <f t="shared" si="48"/>
        <v>4.3436500000000002</v>
      </c>
      <c r="N230" s="5">
        <f t="shared" si="49"/>
        <v>4.2151100000000001</v>
      </c>
      <c r="O230" s="5">
        <f t="shared" si="50"/>
        <v>1.9758599999999946</v>
      </c>
      <c r="P230" s="4">
        <f t="shared" si="51"/>
        <v>20.223540000000042</v>
      </c>
    </row>
    <row r="231" spans="1:16" x14ac:dyDescent="0.5">
      <c r="A231" t="s">
        <v>180</v>
      </c>
      <c r="B231" t="str">
        <f t="shared" si="53"/>
        <v>RNG80xERR40xARM80</v>
      </c>
      <c r="C231">
        <v>80</v>
      </c>
      <c r="D231">
        <v>40</v>
      </c>
      <c r="E231">
        <v>80</v>
      </c>
      <c r="F231" t="s">
        <v>175</v>
      </c>
      <c r="G231">
        <v>100000</v>
      </c>
      <c r="H231" s="3">
        <v>51410</v>
      </c>
      <c r="I231" s="3">
        <f t="shared" si="46"/>
        <v>48590</v>
      </c>
      <c r="J231" s="3">
        <v>434535</v>
      </c>
      <c r="K231" s="3">
        <v>420855</v>
      </c>
      <c r="L231" s="9">
        <f t="shared" si="47"/>
        <v>0.5141</v>
      </c>
      <c r="M231" s="5">
        <f t="shared" si="48"/>
        <v>4.3453499999999998</v>
      </c>
      <c r="N231" s="5">
        <f t="shared" si="49"/>
        <v>4.2085499999999998</v>
      </c>
      <c r="O231" s="5">
        <f t="shared" si="50"/>
        <v>2.0455200000000016</v>
      </c>
      <c r="P231" s="4">
        <f t="shared" si="51"/>
        <v>21.286260000000098</v>
      </c>
    </row>
    <row r="232" spans="1:16" x14ac:dyDescent="0.5">
      <c r="A232" t="s">
        <v>180</v>
      </c>
      <c r="B232" t="str">
        <f t="shared" si="53"/>
        <v>RNG40xERR60xARM80</v>
      </c>
      <c r="C232">
        <v>40</v>
      </c>
      <c r="D232">
        <v>60</v>
      </c>
      <c r="E232">
        <v>80</v>
      </c>
      <c r="F232" t="s">
        <v>175</v>
      </c>
      <c r="G232">
        <v>100000</v>
      </c>
      <c r="H232" s="3">
        <v>49688</v>
      </c>
      <c r="I232" s="3">
        <f t="shared" si="46"/>
        <v>50312</v>
      </c>
      <c r="J232" s="3">
        <v>433912</v>
      </c>
      <c r="K232" s="3">
        <v>438002</v>
      </c>
      <c r="L232" s="9">
        <f t="shared" si="47"/>
        <v>0.49687999999999999</v>
      </c>
      <c r="M232" s="5">
        <f t="shared" si="48"/>
        <v>4.3391200000000003</v>
      </c>
      <c r="N232" s="5">
        <f t="shared" si="49"/>
        <v>4.38002</v>
      </c>
      <c r="O232" s="5">
        <f t="shared" si="50"/>
        <v>-0.74412000000000078</v>
      </c>
      <c r="P232" s="4">
        <f t="shared" si="51"/>
        <v>-6.4918799999999397</v>
      </c>
    </row>
    <row r="233" spans="1:16" x14ac:dyDescent="0.5">
      <c r="A233" t="s">
        <v>180</v>
      </c>
      <c r="B233" t="str">
        <f t="shared" si="53"/>
        <v>RNG60xERR60xARM80</v>
      </c>
      <c r="C233">
        <v>60</v>
      </c>
      <c r="D233">
        <v>60</v>
      </c>
      <c r="E233">
        <v>80</v>
      </c>
      <c r="F233" t="s">
        <v>175</v>
      </c>
      <c r="G233">
        <v>100000</v>
      </c>
      <c r="H233" s="3">
        <v>51408</v>
      </c>
      <c r="I233" s="3">
        <f t="shared" si="46"/>
        <v>48592</v>
      </c>
      <c r="J233" s="3">
        <v>434628</v>
      </c>
      <c r="K233" s="3">
        <v>421041</v>
      </c>
      <c r="L233" s="9">
        <f t="shared" si="47"/>
        <v>0.51407999999999998</v>
      </c>
      <c r="M233" s="5">
        <f t="shared" si="48"/>
        <v>4.3462800000000001</v>
      </c>
      <c r="N233" s="5">
        <f t="shared" si="49"/>
        <v>4.2104100000000004</v>
      </c>
      <c r="O233" s="5">
        <f t="shared" si="50"/>
        <v>2.0422799999999981</v>
      </c>
      <c r="P233" s="4">
        <f t="shared" si="51"/>
        <v>20.984939999999995</v>
      </c>
    </row>
    <row r="234" spans="1:16" x14ac:dyDescent="0.5">
      <c r="A234" t="s">
        <v>180</v>
      </c>
      <c r="B234" t="str">
        <f t="shared" si="53"/>
        <v>RNG80xERR60xARM80</v>
      </c>
      <c r="C234">
        <v>80</v>
      </c>
      <c r="D234">
        <v>60</v>
      </c>
      <c r="E234">
        <v>80</v>
      </c>
      <c r="F234" t="s">
        <v>175</v>
      </c>
      <c r="G234">
        <v>100000</v>
      </c>
      <c r="H234" s="3">
        <v>51110</v>
      </c>
      <c r="I234" s="3">
        <f t="shared" si="46"/>
        <v>48890</v>
      </c>
      <c r="J234" s="3">
        <v>433719</v>
      </c>
      <c r="K234" s="3">
        <v>421348</v>
      </c>
      <c r="L234" s="9">
        <f t="shared" si="47"/>
        <v>0.5111</v>
      </c>
      <c r="M234" s="5">
        <f t="shared" si="48"/>
        <v>4.3371899999999997</v>
      </c>
      <c r="N234" s="5">
        <f t="shared" si="49"/>
        <v>4.2134799999999997</v>
      </c>
      <c r="O234" s="5">
        <f t="shared" si="50"/>
        <v>1.5595200000000009</v>
      </c>
      <c r="P234" s="4">
        <f t="shared" si="51"/>
        <v>20.487600000000118</v>
      </c>
    </row>
    <row r="235" spans="1:16" x14ac:dyDescent="0.5">
      <c r="A235" t="s">
        <v>180</v>
      </c>
      <c r="B235" t="str">
        <f t="shared" si="53"/>
        <v>RNG40xERR80xARM80</v>
      </c>
      <c r="C235">
        <v>40</v>
      </c>
      <c r="D235">
        <v>80</v>
      </c>
      <c r="E235">
        <v>80</v>
      </c>
      <c r="F235" t="s">
        <v>175</v>
      </c>
      <c r="G235">
        <v>100000</v>
      </c>
      <c r="H235" s="3">
        <v>49403</v>
      </c>
      <c r="I235" s="3">
        <f t="shared" si="46"/>
        <v>50597</v>
      </c>
      <c r="J235" s="3">
        <v>433634</v>
      </c>
      <c r="K235" s="3">
        <v>439929</v>
      </c>
      <c r="L235" s="9">
        <f t="shared" si="47"/>
        <v>0.49403000000000002</v>
      </c>
      <c r="M235" s="5">
        <f t="shared" si="48"/>
        <v>4.3363399999999999</v>
      </c>
      <c r="N235" s="5">
        <f t="shared" si="49"/>
        <v>4.3992899999999997</v>
      </c>
      <c r="O235" s="5">
        <f t="shared" si="50"/>
        <v>-1.2058199999999948</v>
      </c>
      <c r="P235" s="4">
        <f t="shared" si="51"/>
        <v>-9.6136199999998873</v>
      </c>
    </row>
    <row r="236" spans="1:16" x14ac:dyDescent="0.5">
      <c r="A236" t="s">
        <v>180</v>
      </c>
      <c r="B236" t="str">
        <f t="shared" si="53"/>
        <v>RNG60xERR80xARM80</v>
      </c>
      <c r="C236">
        <v>60</v>
      </c>
      <c r="D236">
        <v>80</v>
      </c>
      <c r="E236">
        <v>80</v>
      </c>
      <c r="F236" t="s">
        <v>175</v>
      </c>
      <c r="G236">
        <v>100000</v>
      </c>
      <c r="H236" s="3">
        <v>51451</v>
      </c>
      <c r="I236" s="3">
        <f t="shared" si="46"/>
        <v>48549</v>
      </c>
      <c r="J236" s="3">
        <v>434943</v>
      </c>
      <c r="K236" s="3">
        <v>420132</v>
      </c>
      <c r="L236" s="9">
        <f t="shared" si="47"/>
        <v>0.51451000000000002</v>
      </c>
      <c r="M236" s="5">
        <f t="shared" si="48"/>
        <v>4.3494299999999999</v>
      </c>
      <c r="N236" s="5">
        <f t="shared" si="49"/>
        <v>4.2013199999999999</v>
      </c>
      <c r="O236" s="5">
        <f t="shared" si="50"/>
        <v>2.111940000000005</v>
      </c>
      <c r="P236" s="4">
        <f t="shared" si="51"/>
        <v>22.457520000000073</v>
      </c>
    </row>
    <row r="237" spans="1:16" x14ac:dyDescent="0.5">
      <c r="A237" t="s">
        <v>180</v>
      </c>
      <c r="B237" t="str">
        <f t="shared" si="53"/>
        <v>RNG80xERR80xARM80</v>
      </c>
      <c r="C237">
        <v>80</v>
      </c>
      <c r="D237">
        <v>80</v>
      </c>
      <c r="E237">
        <v>80</v>
      </c>
      <c r="F237" t="s">
        <v>175</v>
      </c>
      <c r="G237">
        <v>100000</v>
      </c>
      <c r="H237" s="3">
        <v>51465</v>
      </c>
      <c r="I237" s="3">
        <f t="shared" si="46"/>
        <v>48535</v>
      </c>
      <c r="J237" s="3">
        <v>434361</v>
      </c>
      <c r="K237" s="3">
        <v>420558</v>
      </c>
      <c r="L237" s="9">
        <f t="shared" si="47"/>
        <v>0.51465000000000005</v>
      </c>
      <c r="M237" s="5">
        <f t="shared" si="48"/>
        <v>4.34361</v>
      </c>
      <c r="N237" s="5">
        <f t="shared" si="49"/>
        <v>4.2055800000000003</v>
      </c>
      <c r="O237" s="5">
        <f t="shared" si="50"/>
        <v>2.1346200000000097</v>
      </c>
      <c r="P237" s="4">
        <f t="shared" si="51"/>
        <v>21.767400000000013</v>
      </c>
    </row>
    <row r="238" spans="1:16" x14ac:dyDescent="0.5">
      <c r="A238" t="s">
        <v>180</v>
      </c>
      <c r="B238" t="str">
        <f t="shared" si="53"/>
        <v>RNG45xERR60xARM60</v>
      </c>
      <c r="C238">
        <v>45</v>
      </c>
      <c r="D238">
        <v>60</v>
      </c>
      <c r="E238">
        <v>60</v>
      </c>
      <c r="F238" t="s">
        <v>175</v>
      </c>
      <c r="G238">
        <v>100000</v>
      </c>
      <c r="H238" s="3">
        <v>49623</v>
      </c>
      <c r="I238" s="3">
        <f t="shared" si="46"/>
        <v>50377</v>
      </c>
      <c r="J238" s="3">
        <v>433552</v>
      </c>
      <c r="K238" s="3">
        <v>438316</v>
      </c>
      <c r="L238" s="9">
        <f t="shared" si="47"/>
        <v>0.49623</v>
      </c>
      <c r="M238" s="5">
        <f t="shared" si="48"/>
        <v>4.3355199999999998</v>
      </c>
      <c r="N238" s="5">
        <f t="shared" si="49"/>
        <v>4.3831600000000002</v>
      </c>
      <c r="O238" s="5">
        <f t="shared" si="50"/>
        <v>-0.84941999999999818</v>
      </c>
      <c r="P238" s="4">
        <f t="shared" si="51"/>
        <v>-7.0005599999999628</v>
      </c>
    </row>
    <row r="239" spans="1:16" x14ac:dyDescent="0.5">
      <c r="A239" t="s">
        <v>180</v>
      </c>
      <c r="B239" t="str">
        <f t="shared" si="53"/>
        <v>RNG50xERR60xARM60</v>
      </c>
      <c r="C239">
        <v>50</v>
      </c>
      <c r="D239">
        <v>60</v>
      </c>
      <c r="E239">
        <v>60</v>
      </c>
      <c r="F239" t="s">
        <v>175</v>
      </c>
      <c r="G239">
        <v>100000</v>
      </c>
      <c r="H239" s="3">
        <v>50037</v>
      </c>
      <c r="I239" s="3">
        <f t="shared" si="46"/>
        <v>49963</v>
      </c>
      <c r="J239" s="3">
        <v>434374</v>
      </c>
      <c r="K239" s="3">
        <v>434772</v>
      </c>
      <c r="L239" s="9">
        <f t="shared" si="47"/>
        <v>0.50036999999999998</v>
      </c>
      <c r="M239" s="5">
        <f t="shared" si="48"/>
        <v>4.3437400000000004</v>
      </c>
      <c r="N239" s="5">
        <f t="shared" si="49"/>
        <v>4.3477199999999998</v>
      </c>
      <c r="O239" s="5">
        <f t="shared" si="50"/>
        <v>-0.1787400000000019</v>
      </c>
      <c r="P239" s="4">
        <f t="shared" si="51"/>
        <v>-1.2592799999999045</v>
      </c>
    </row>
    <row r="240" spans="1:16" x14ac:dyDescent="0.5">
      <c r="A240" t="s">
        <v>180</v>
      </c>
      <c r="B240" t="str">
        <f t="shared" si="53"/>
        <v>RNG55xERR60xARM60</v>
      </c>
      <c r="C240">
        <v>55</v>
      </c>
      <c r="D240">
        <v>60</v>
      </c>
      <c r="E240">
        <v>60</v>
      </c>
      <c r="F240" t="s">
        <v>175</v>
      </c>
      <c r="G240">
        <v>100000</v>
      </c>
      <c r="H240" s="3">
        <v>51084</v>
      </c>
      <c r="I240" s="3">
        <f t="shared" si="46"/>
        <v>48916</v>
      </c>
      <c r="J240" s="3">
        <v>433456</v>
      </c>
      <c r="K240" s="3">
        <v>423243</v>
      </c>
      <c r="L240" s="9">
        <f t="shared" si="47"/>
        <v>0.51083999999999996</v>
      </c>
      <c r="M240" s="5">
        <f t="shared" si="48"/>
        <v>4.3345599999999997</v>
      </c>
      <c r="N240" s="5">
        <f t="shared" si="49"/>
        <v>4.2324299999999999</v>
      </c>
      <c r="O240" s="5">
        <f t="shared" si="50"/>
        <v>1.5173999999999948</v>
      </c>
      <c r="P240" s="4">
        <f t="shared" si="51"/>
        <v>17.417700000000078</v>
      </c>
    </row>
    <row r="241" spans="1:16" x14ac:dyDescent="0.5">
      <c r="A241" s="23" t="s">
        <v>182</v>
      </c>
      <c r="B241" s="18" t="s">
        <v>165</v>
      </c>
      <c r="C241" s="18">
        <v>50</v>
      </c>
      <c r="D241" s="18">
        <v>55</v>
      </c>
      <c r="E241" s="18">
        <v>55</v>
      </c>
      <c r="F241" s="18" t="s">
        <v>175</v>
      </c>
      <c r="G241" s="18">
        <v>100000</v>
      </c>
      <c r="H241" s="19">
        <v>50147.333333333336</v>
      </c>
      <c r="I241" s="19">
        <v>49852.666666666664</v>
      </c>
      <c r="J241" s="19">
        <v>434431.33333333331</v>
      </c>
      <c r="K241" s="19">
        <v>433994.66666666669</v>
      </c>
      <c r="L241" s="20">
        <v>0.50147333333333333</v>
      </c>
      <c r="M241" s="21">
        <v>4.344313333333333</v>
      </c>
      <c r="N241" s="21">
        <v>4.3399466666666671</v>
      </c>
      <c r="O241" s="21" t="s">
        <v>50</v>
      </c>
      <c r="P241" s="22" t="s">
        <v>50</v>
      </c>
    </row>
    <row r="242" spans="1:16" x14ac:dyDescent="0.5">
      <c r="A242" s="18" t="s">
        <v>182</v>
      </c>
      <c r="B242" s="18" t="str">
        <f>_xlfn.CONCAT("RNG",C242,"xERR",D242,"xARM",E242)</f>
        <v>RNG40xERR40xARM40</v>
      </c>
      <c r="C242" s="18">
        <v>40</v>
      </c>
      <c r="D242" s="18">
        <v>40</v>
      </c>
      <c r="E242" s="18">
        <v>40</v>
      </c>
      <c r="F242" s="18" t="s">
        <v>175</v>
      </c>
      <c r="G242" s="18">
        <v>100000</v>
      </c>
      <c r="H242" s="19">
        <v>48546</v>
      </c>
      <c r="I242" s="19">
        <f t="shared" ref="I242:I271" si="54">G242-H242</f>
        <v>51454</v>
      </c>
      <c r="J242" s="19">
        <v>434384</v>
      </c>
      <c r="K242" s="19">
        <v>448603</v>
      </c>
      <c r="L242" s="20">
        <f t="shared" ref="L242:L271" si="55">H242/G242</f>
        <v>0.48546</v>
      </c>
      <c r="M242" s="21">
        <f t="shared" ref="M242:M271" si="56">J242/G242</f>
        <v>4.3438400000000001</v>
      </c>
      <c r="N242" s="21">
        <f t="shared" ref="N242:N271" si="57">K242/G242</f>
        <v>4.4860300000000004</v>
      </c>
      <c r="O242" s="5">
        <f>(L242-$L$242)*162</f>
        <v>0</v>
      </c>
      <c r="P242" s="5">
        <f>-(N242-$N$242)*162</f>
        <v>0</v>
      </c>
    </row>
    <row r="243" spans="1:16" x14ac:dyDescent="0.5">
      <c r="A243" t="s">
        <v>182</v>
      </c>
      <c r="B243" t="str">
        <f t="shared" ref="B243:B250" si="58">_xlfn.CONCAT("RNG",C243,"xERR",D243,"xARM",E243)</f>
        <v>RNG60xERR40xARM40</v>
      </c>
      <c r="C243">
        <v>60</v>
      </c>
      <c r="D243">
        <v>40</v>
      </c>
      <c r="E243">
        <v>40</v>
      </c>
      <c r="F243" t="s">
        <v>175</v>
      </c>
      <c r="G243">
        <v>100000</v>
      </c>
      <c r="H243" s="3">
        <v>51945</v>
      </c>
      <c r="I243" s="3">
        <f t="shared" si="54"/>
        <v>48055</v>
      </c>
      <c r="J243" s="3">
        <v>435087</v>
      </c>
      <c r="K243" s="3">
        <v>418202</v>
      </c>
      <c r="L243" s="9">
        <f t="shared" si="55"/>
        <v>0.51944999999999997</v>
      </c>
      <c r="M243" s="5">
        <f t="shared" si="56"/>
        <v>4.3508699999999996</v>
      </c>
      <c r="N243" s="5">
        <f t="shared" si="57"/>
        <v>4.1820199999999996</v>
      </c>
      <c r="O243" s="5">
        <f>(L243-$L$242)*162</f>
        <v>5.5063799999999947</v>
      </c>
      <c r="P243" s="5">
        <f>-(N243-$N$242)*162</f>
        <v>49.249620000000128</v>
      </c>
    </row>
    <row r="244" spans="1:16" x14ac:dyDescent="0.5">
      <c r="A244" t="s">
        <v>182</v>
      </c>
      <c r="B244" t="str">
        <f t="shared" si="58"/>
        <v>RNG80xERR40xARM40</v>
      </c>
      <c r="C244">
        <v>80</v>
      </c>
      <c r="D244">
        <v>40</v>
      </c>
      <c r="E244">
        <v>40</v>
      </c>
      <c r="F244" t="s">
        <v>175</v>
      </c>
      <c r="G244">
        <v>100000</v>
      </c>
      <c r="H244" s="3">
        <v>51448</v>
      </c>
      <c r="I244" s="3">
        <f t="shared" si="54"/>
        <v>48552</v>
      </c>
      <c r="J244" s="3">
        <v>434585</v>
      </c>
      <c r="K244" s="3">
        <v>419805</v>
      </c>
      <c r="L244" s="9">
        <f t="shared" si="55"/>
        <v>0.51448000000000005</v>
      </c>
      <c r="M244" s="5">
        <f t="shared" si="56"/>
        <v>4.3458500000000004</v>
      </c>
      <c r="N244" s="5">
        <f t="shared" si="57"/>
        <v>4.1980500000000003</v>
      </c>
      <c r="O244" s="5">
        <f t="shared" ref="O244:O271" si="59">(L244-$L$242)*162</f>
        <v>4.7012400000000074</v>
      </c>
      <c r="P244" s="5">
        <f t="shared" ref="P244:P271" si="60">-(N244-$N$242)*162</f>
        <v>46.652760000000022</v>
      </c>
    </row>
    <row r="245" spans="1:16" x14ac:dyDescent="0.5">
      <c r="A245" t="s">
        <v>182</v>
      </c>
      <c r="B245" t="str">
        <f t="shared" si="58"/>
        <v>RNG40xERR60xARM40</v>
      </c>
      <c r="C245">
        <v>40</v>
      </c>
      <c r="D245">
        <v>60</v>
      </c>
      <c r="E245">
        <v>40</v>
      </c>
      <c r="F245" t="s">
        <v>175</v>
      </c>
      <c r="G245">
        <v>100000</v>
      </c>
      <c r="H245" s="3">
        <v>48559</v>
      </c>
      <c r="I245" s="3">
        <f t="shared" si="54"/>
        <v>51441</v>
      </c>
      <c r="J245" s="3">
        <v>434128</v>
      </c>
      <c r="K245" s="3">
        <v>447846</v>
      </c>
      <c r="L245" s="9">
        <f t="shared" si="55"/>
        <v>0.48559000000000002</v>
      </c>
      <c r="M245" s="5">
        <f t="shared" si="56"/>
        <v>4.3412800000000002</v>
      </c>
      <c r="N245" s="5">
        <f t="shared" si="57"/>
        <v>4.4784600000000001</v>
      </c>
      <c r="O245" s="5">
        <f t="shared" si="59"/>
        <v>2.1060000000003076E-2</v>
      </c>
      <c r="P245" s="5">
        <f t="shared" si="60"/>
        <v>1.2263400000000484</v>
      </c>
    </row>
    <row r="246" spans="1:16" x14ac:dyDescent="0.5">
      <c r="A246" t="s">
        <v>182</v>
      </c>
      <c r="B246" t="str">
        <f t="shared" si="58"/>
        <v>RNG60xERR60xARM40</v>
      </c>
      <c r="C246">
        <v>60</v>
      </c>
      <c r="D246">
        <v>60</v>
      </c>
      <c r="E246">
        <v>40</v>
      </c>
      <c r="F246" t="s">
        <v>175</v>
      </c>
      <c r="G246">
        <v>100000</v>
      </c>
      <c r="H246" s="3">
        <v>51847</v>
      </c>
      <c r="I246" s="3">
        <f t="shared" si="54"/>
        <v>48153</v>
      </c>
      <c r="J246" s="3">
        <v>434534</v>
      </c>
      <c r="K246" s="3">
        <v>416136</v>
      </c>
      <c r="L246" s="9">
        <f t="shared" si="55"/>
        <v>0.51846999999999999</v>
      </c>
      <c r="M246" s="5">
        <f t="shared" si="56"/>
        <v>4.3453400000000002</v>
      </c>
      <c r="N246" s="5">
        <f t="shared" si="57"/>
        <v>4.1613600000000002</v>
      </c>
      <c r="O246" s="5">
        <f t="shared" si="59"/>
        <v>5.3476199999999974</v>
      </c>
      <c r="P246" s="5">
        <f t="shared" si="60"/>
        <v>52.59654000000004</v>
      </c>
    </row>
    <row r="247" spans="1:16" x14ac:dyDescent="0.5">
      <c r="A247" t="s">
        <v>182</v>
      </c>
      <c r="B247" t="str">
        <f t="shared" si="58"/>
        <v>RNG80xERR60xARM40</v>
      </c>
      <c r="C247">
        <v>80</v>
      </c>
      <c r="D247">
        <v>60</v>
      </c>
      <c r="E247">
        <v>40</v>
      </c>
      <c r="F247" t="s">
        <v>175</v>
      </c>
      <c r="G247">
        <v>100000</v>
      </c>
      <c r="H247" s="3">
        <v>51735</v>
      </c>
      <c r="I247" s="3">
        <f t="shared" si="54"/>
        <v>48265</v>
      </c>
      <c r="J247" s="3">
        <v>434635</v>
      </c>
      <c r="K247" s="3">
        <v>418441</v>
      </c>
      <c r="L247" s="9">
        <f t="shared" si="55"/>
        <v>0.51734999999999998</v>
      </c>
      <c r="M247" s="5">
        <f t="shared" si="56"/>
        <v>4.3463500000000002</v>
      </c>
      <c r="N247" s="5">
        <f t="shared" si="57"/>
        <v>4.1844099999999997</v>
      </c>
      <c r="O247" s="5">
        <f t="shared" si="59"/>
        <v>5.1661799999999953</v>
      </c>
      <c r="P247" s="5">
        <f t="shared" si="60"/>
        <v>48.862440000000106</v>
      </c>
    </row>
    <row r="248" spans="1:16" x14ac:dyDescent="0.5">
      <c r="A248" t="s">
        <v>182</v>
      </c>
      <c r="B248" t="str">
        <f t="shared" si="58"/>
        <v>RNG40xERR80xARM40</v>
      </c>
      <c r="C248">
        <v>40</v>
      </c>
      <c r="D248">
        <v>80</v>
      </c>
      <c r="E248">
        <v>40</v>
      </c>
      <c r="F248" t="s">
        <v>175</v>
      </c>
      <c r="G248">
        <v>100000</v>
      </c>
      <c r="H248" s="3">
        <v>48590</v>
      </c>
      <c r="I248" s="3">
        <f t="shared" si="54"/>
        <v>51410</v>
      </c>
      <c r="J248" s="3">
        <v>433628</v>
      </c>
      <c r="K248" s="3">
        <v>448453</v>
      </c>
      <c r="L248" s="9">
        <f t="shared" si="55"/>
        <v>0.4859</v>
      </c>
      <c r="M248" s="5">
        <f t="shared" si="56"/>
        <v>4.3362800000000004</v>
      </c>
      <c r="N248" s="5">
        <f t="shared" si="57"/>
        <v>4.4845300000000003</v>
      </c>
      <c r="O248" s="5">
        <f t="shared" si="59"/>
        <v>7.1279999999999344E-2</v>
      </c>
      <c r="P248" s="5">
        <f t="shared" si="60"/>
        <v>0.24300000000000921</v>
      </c>
    </row>
    <row r="249" spans="1:16" x14ac:dyDescent="0.5">
      <c r="A249" t="s">
        <v>182</v>
      </c>
      <c r="B249" t="str">
        <f t="shared" si="58"/>
        <v>RNG60xERR80xARM40</v>
      </c>
      <c r="C249">
        <v>60</v>
      </c>
      <c r="D249">
        <v>80</v>
      </c>
      <c r="E249">
        <v>40</v>
      </c>
      <c r="F249" t="s">
        <v>175</v>
      </c>
      <c r="G249">
        <v>100000</v>
      </c>
      <c r="H249" s="3">
        <v>51856</v>
      </c>
      <c r="I249" s="3">
        <f t="shared" si="54"/>
        <v>48144</v>
      </c>
      <c r="J249" s="3">
        <v>433684</v>
      </c>
      <c r="K249" s="3">
        <v>416569</v>
      </c>
      <c r="L249" s="9">
        <f t="shared" si="55"/>
        <v>0.51856000000000002</v>
      </c>
      <c r="M249" s="5">
        <f t="shared" si="56"/>
        <v>4.3368399999999996</v>
      </c>
      <c r="N249" s="5">
        <f t="shared" si="57"/>
        <v>4.1656899999999997</v>
      </c>
      <c r="O249" s="5">
        <f t="shared" si="59"/>
        <v>5.3622000000000032</v>
      </c>
      <c r="P249" s="5">
        <f t="shared" si="60"/>
        <v>51.895080000000121</v>
      </c>
    </row>
    <row r="250" spans="1:16" x14ac:dyDescent="0.5">
      <c r="A250" t="s">
        <v>182</v>
      </c>
      <c r="B250" t="str">
        <f t="shared" si="58"/>
        <v>RNG80xERR80xARM40</v>
      </c>
      <c r="C250">
        <v>80</v>
      </c>
      <c r="D250">
        <v>80</v>
      </c>
      <c r="E250">
        <v>40</v>
      </c>
      <c r="F250" t="s">
        <v>175</v>
      </c>
      <c r="G250">
        <v>100000</v>
      </c>
      <c r="H250" s="3">
        <v>51640</v>
      </c>
      <c r="I250" s="3">
        <f t="shared" si="54"/>
        <v>48360</v>
      </c>
      <c r="J250" s="3">
        <v>434297</v>
      </c>
      <c r="K250" s="3">
        <v>418439</v>
      </c>
      <c r="L250" s="9">
        <f t="shared" si="55"/>
        <v>0.51639999999999997</v>
      </c>
      <c r="M250" s="5">
        <f t="shared" si="56"/>
        <v>4.3429700000000002</v>
      </c>
      <c r="N250" s="5">
        <f t="shared" si="57"/>
        <v>4.1843899999999996</v>
      </c>
      <c r="O250" s="5">
        <f t="shared" si="59"/>
        <v>5.0122799999999952</v>
      </c>
      <c r="P250" s="5">
        <f t="shared" si="60"/>
        <v>48.865680000000125</v>
      </c>
    </row>
    <row r="251" spans="1:16" x14ac:dyDescent="0.5">
      <c r="A251" t="s">
        <v>182</v>
      </c>
      <c r="B251" t="str">
        <f>_xlfn.CONCAT("RNG",C251,"xERR",D251,"xARM",E251)</f>
        <v>RNG40xERR40xARM60</v>
      </c>
      <c r="C251">
        <v>40</v>
      </c>
      <c r="D251">
        <v>40</v>
      </c>
      <c r="E251">
        <v>60</v>
      </c>
      <c r="F251" t="s">
        <v>175</v>
      </c>
      <c r="G251">
        <v>100000</v>
      </c>
      <c r="H251" s="3">
        <v>49378</v>
      </c>
      <c r="I251" s="3">
        <f t="shared" si="54"/>
        <v>50622</v>
      </c>
      <c r="J251" s="3">
        <v>434784</v>
      </c>
      <c r="K251" s="3">
        <v>442157</v>
      </c>
      <c r="L251" s="9">
        <f t="shared" si="55"/>
        <v>0.49378</v>
      </c>
      <c r="M251" s="5">
        <f t="shared" si="56"/>
        <v>4.3478399999999997</v>
      </c>
      <c r="N251" s="5">
        <f t="shared" si="57"/>
        <v>4.42157</v>
      </c>
      <c r="O251" s="5">
        <f t="shared" si="59"/>
        <v>1.347839999999999</v>
      </c>
      <c r="P251" s="5">
        <f t="shared" si="60"/>
        <v>10.442520000000066</v>
      </c>
    </row>
    <row r="252" spans="1:16" x14ac:dyDescent="0.5">
      <c r="A252" t="s">
        <v>182</v>
      </c>
      <c r="B252" t="str">
        <f t="shared" ref="B252:B271" si="61">_xlfn.CONCAT("RNG",C252,"xERR",D252,"xARM",E252)</f>
        <v>RNG60xERR40xARM60</v>
      </c>
      <c r="C252">
        <v>60</v>
      </c>
      <c r="D252">
        <v>40</v>
      </c>
      <c r="E252">
        <v>60</v>
      </c>
      <c r="F252" t="s">
        <v>175</v>
      </c>
      <c r="G252">
        <v>100000</v>
      </c>
      <c r="H252" s="3">
        <v>52260</v>
      </c>
      <c r="I252" s="3">
        <f t="shared" si="54"/>
        <v>47740</v>
      </c>
      <c r="J252" s="3">
        <v>433952</v>
      </c>
      <c r="K252" s="3">
        <v>412257</v>
      </c>
      <c r="L252" s="9">
        <f t="shared" si="55"/>
        <v>0.52259999999999995</v>
      </c>
      <c r="M252" s="5">
        <f t="shared" si="56"/>
        <v>4.3395200000000003</v>
      </c>
      <c r="N252" s="5">
        <f t="shared" si="57"/>
        <v>4.1225699999999996</v>
      </c>
      <c r="O252" s="5">
        <f t="shared" si="59"/>
        <v>6.016679999999992</v>
      </c>
      <c r="P252" s="5">
        <f t="shared" si="60"/>
        <v>58.880520000000125</v>
      </c>
    </row>
    <row r="253" spans="1:16" x14ac:dyDescent="0.5">
      <c r="A253" t="s">
        <v>182</v>
      </c>
      <c r="B253" t="str">
        <f t="shared" si="61"/>
        <v>RNG80xERR40xARM60</v>
      </c>
      <c r="C253">
        <v>80</v>
      </c>
      <c r="D253">
        <v>40</v>
      </c>
      <c r="E253">
        <v>60</v>
      </c>
      <c r="F253" t="s">
        <v>175</v>
      </c>
      <c r="G253">
        <v>100000</v>
      </c>
      <c r="H253" s="3">
        <v>52287</v>
      </c>
      <c r="I253" s="3">
        <f t="shared" si="54"/>
        <v>47713</v>
      </c>
      <c r="J253" s="3">
        <v>435642</v>
      </c>
      <c r="K253" s="3">
        <v>413896</v>
      </c>
      <c r="L253" s="9">
        <f t="shared" si="55"/>
        <v>0.52286999999999995</v>
      </c>
      <c r="M253" s="5">
        <f t="shared" si="56"/>
        <v>4.35642</v>
      </c>
      <c r="N253" s="5">
        <f t="shared" si="57"/>
        <v>4.13896</v>
      </c>
      <c r="O253" s="5">
        <f t="shared" si="59"/>
        <v>6.0604199999999908</v>
      </c>
      <c r="P253" s="5">
        <f t="shared" si="60"/>
        <v>56.225340000000074</v>
      </c>
    </row>
    <row r="254" spans="1:16" x14ac:dyDescent="0.5">
      <c r="A254" t="s">
        <v>182</v>
      </c>
      <c r="B254" t="str">
        <f t="shared" si="61"/>
        <v>RNG40xERR60xARM60</v>
      </c>
      <c r="C254">
        <v>40</v>
      </c>
      <c r="D254">
        <v>60</v>
      </c>
      <c r="E254">
        <v>60</v>
      </c>
      <c r="F254" t="s">
        <v>175</v>
      </c>
      <c r="G254">
        <v>100000</v>
      </c>
      <c r="H254" s="3">
        <v>48944</v>
      </c>
      <c r="I254" s="3">
        <f t="shared" si="54"/>
        <v>51056</v>
      </c>
      <c r="J254" s="3">
        <v>434412</v>
      </c>
      <c r="K254" s="3">
        <v>444126</v>
      </c>
      <c r="L254" s="9">
        <f t="shared" si="55"/>
        <v>0.48943999999999999</v>
      </c>
      <c r="M254" s="5">
        <f t="shared" si="56"/>
        <v>4.3441200000000002</v>
      </c>
      <c r="N254" s="5">
        <f t="shared" si="57"/>
        <v>4.4412599999999998</v>
      </c>
      <c r="O254" s="5">
        <f t="shared" si="59"/>
        <v>0.64475999999999734</v>
      </c>
      <c r="P254" s="5">
        <f t="shared" si="60"/>
        <v>7.2527400000001041</v>
      </c>
    </row>
    <row r="255" spans="1:16" x14ac:dyDescent="0.5">
      <c r="A255" t="s">
        <v>182</v>
      </c>
      <c r="B255" t="str">
        <f t="shared" si="61"/>
        <v>RNG60xERR60xARM60</v>
      </c>
      <c r="C255">
        <v>60</v>
      </c>
      <c r="D255">
        <v>60</v>
      </c>
      <c r="E255">
        <v>60</v>
      </c>
      <c r="F255" t="s">
        <v>175</v>
      </c>
      <c r="G255">
        <v>100000</v>
      </c>
      <c r="H255" s="3">
        <v>52315</v>
      </c>
      <c r="I255" s="3">
        <f t="shared" si="54"/>
        <v>47685</v>
      </c>
      <c r="J255" s="3">
        <v>432943</v>
      </c>
      <c r="K255" s="3">
        <v>411434</v>
      </c>
      <c r="L255" s="9">
        <f t="shared" si="55"/>
        <v>0.52315</v>
      </c>
      <c r="M255" s="5">
        <f t="shared" si="56"/>
        <v>4.3294300000000003</v>
      </c>
      <c r="N255" s="5">
        <f t="shared" si="57"/>
        <v>4.1143400000000003</v>
      </c>
      <c r="O255" s="5">
        <f t="shared" si="59"/>
        <v>6.1057800000000002</v>
      </c>
      <c r="P255" s="5">
        <f t="shared" si="60"/>
        <v>60.213780000000014</v>
      </c>
    </row>
    <row r="256" spans="1:16" x14ac:dyDescent="0.5">
      <c r="A256" t="s">
        <v>182</v>
      </c>
      <c r="B256" t="str">
        <f t="shared" si="61"/>
        <v>RNG80xERR60xARM60</v>
      </c>
      <c r="C256">
        <v>80</v>
      </c>
      <c r="D256">
        <v>60</v>
      </c>
      <c r="E256">
        <v>60</v>
      </c>
      <c r="F256" t="s">
        <v>175</v>
      </c>
      <c r="G256">
        <v>100000</v>
      </c>
      <c r="H256" s="3">
        <v>51875</v>
      </c>
      <c r="I256" s="3">
        <f t="shared" si="54"/>
        <v>48125</v>
      </c>
      <c r="J256" s="3">
        <v>432650</v>
      </c>
      <c r="K256" s="3">
        <v>414873</v>
      </c>
      <c r="L256" s="9">
        <f t="shared" si="55"/>
        <v>0.51875000000000004</v>
      </c>
      <c r="M256" s="5">
        <f t="shared" si="56"/>
        <v>4.3265000000000002</v>
      </c>
      <c r="N256" s="5">
        <f t="shared" si="57"/>
        <v>4.1487299999999996</v>
      </c>
      <c r="O256" s="5">
        <f t="shared" si="59"/>
        <v>5.3929800000000068</v>
      </c>
      <c r="P256" s="5">
        <f t="shared" si="60"/>
        <v>54.64260000000013</v>
      </c>
    </row>
    <row r="257" spans="1:16" x14ac:dyDescent="0.5">
      <c r="A257" t="s">
        <v>182</v>
      </c>
      <c r="B257" t="str">
        <f t="shared" si="61"/>
        <v>RNG40xERR80xARM60</v>
      </c>
      <c r="C257">
        <v>40</v>
      </c>
      <c r="D257">
        <v>80</v>
      </c>
      <c r="E257">
        <v>60</v>
      </c>
      <c r="F257" t="s">
        <v>175</v>
      </c>
      <c r="G257">
        <v>100000</v>
      </c>
      <c r="H257" s="3">
        <v>49123</v>
      </c>
      <c r="I257" s="3">
        <f t="shared" si="54"/>
        <v>50877</v>
      </c>
      <c r="J257" s="3">
        <v>433697</v>
      </c>
      <c r="K257" s="3">
        <v>442005</v>
      </c>
      <c r="L257" s="9">
        <f t="shared" si="55"/>
        <v>0.49123</v>
      </c>
      <c r="M257" s="5">
        <f t="shared" si="56"/>
        <v>4.33697</v>
      </c>
      <c r="N257" s="5">
        <f t="shared" si="57"/>
        <v>4.4200499999999998</v>
      </c>
      <c r="O257" s="5">
        <f t="shared" si="59"/>
        <v>0.93473999999999957</v>
      </c>
      <c r="P257" s="5">
        <f t="shared" si="60"/>
        <v>10.688760000000096</v>
      </c>
    </row>
    <row r="258" spans="1:16" x14ac:dyDescent="0.5">
      <c r="A258" t="s">
        <v>182</v>
      </c>
      <c r="B258" t="str">
        <f t="shared" si="61"/>
        <v>RNG60xERR80xARM60</v>
      </c>
      <c r="C258">
        <v>60</v>
      </c>
      <c r="D258">
        <v>80</v>
      </c>
      <c r="E258">
        <v>60</v>
      </c>
      <c r="F258" t="s">
        <v>175</v>
      </c>
      <c r="G258">
        <v>100000</v>
      </c>
      <c r="H258" s="3">
        <v>52229</v>
      </c>
      <c r="I258" s="3">
        <f t="shared" si="54"/>
        <v>47771</v>
      </c>
      <c r="J258" s="3">
        <v>433565</v>
      </c>
      <c r="K258" s="3">
        <v>410628</v>
      </c>
      <c r="L258" s="9">
        <f t="shared" si="55"/>
        <v>0.52229000000000003</v>
      </c>
      <c r="M258" s="5">
        <f t="shared" si="56"/>
        <v>4.3356500000000002</v>
      </c>
      <c r="N258" s="5">
        <f t="shared" si="57"/>
        <v>4.1062799999999999</v>
      </c>
      <c r="O258" s="5">
        <f t="shared" si="59"/>
        <v>5.966460000000005</v>
      </c>
      <c r="P258" s="5">
        <f t="shared" si="60"/>
        <v>61.519500000000079</v>
      </c>
    </row>
    <row r="259" spans="1:16" x14ac:dyDescent="0.5">
      <c r="A259" t="s">
        <v>182</v>
      </c>
      <c r="B259" t="str">
        <f t="shared" si="61"/>
        <v>RNG80xERR80xARM60</v>
      </c>
      <c r="C259">
        <v>80</v>
      </c>
      <c r="D259">
        <v>80</v>
      </c>
      <c r="E259">
        <v>60</v>
      </c>
      <c r="F259" t="s">
        <v>175</v>
      </c>
      <c r="G259">
        <v>100000</v>
      </c>
      <c r="H259" s="3">
        <v>52352</v>
      </c>
      <c r="I259" s="3">
        <f t="shared" si="54"/>
        <v>47648</v>
      </c>
      <c r="J259" s="3">
        <v>434206</v>
      </c>
      <c r="K259" s="3">
        <v>412260</v>
      </c>
      <c r="L259" s="9">
        <f t="shared" si="55"/>
        <v>0.52351999999999999</v>
      </c>
      <c r="M259" s="5">
        <f t="shared" si="56"/>
        <v>4.34206</v>
      </c>
      <c r="N259" s="5">
        <f t="shared" si="57"/>
        <v>4.1226000000000003</v>
      </c>
      <c r="O259" s="5">
        <f t="shared" si="59"/>
        <v>6.1657199999999968</v>
      </c>
      <c r="P259" s="5">
        <f t="shared" si="60"/>
        <v>58.875660000000025</v>
      </c>
    </row>
    <row r="260" spans="1:16" x14ac:dyDescent="0.5">
      <c r="A260" t="s">
        <v>182</v>
      </c>
      <c r="B260" t="str">
        <f t="shared" si="61"/>
        <v>RNG40xERR40xARM80</v>
      </c>
      <c r="C260">
        <v>40</v>
      </c>
      <c r="D260">
        <v>40</v>
      </c>
      <c r="E260">
        <v>80</v>
      </c>
      <c r="F260" t="s">
        <v>175</v>
      </c>
      <c r="G260">
        <v>100000</v>
      </c>
      <c r="H260" s="3">
        <v>49501</v>
      </c>
      <c r="I260" s="3">
        <f t="shared" si="54"/>
        <v>50499</v>
      </c>
      <c r="J260" s="3">
        <v>433842</v>
      </c>
      <c r="K260" s="3">
        <v>439244</v>
      </c>
      <c r="L260" s="9">
        <f t="shared" si="55"/>
        <v>0.49501000000000001</v>
      </c>
      <c r="M260" s="5">
        <f t="shared" si="56"/>
        <v>4.3384200000000002</v>
      </c>
      <c r="N260" s="5">
        <f t="shared" si="57"/>
        <v>4.3924399999999997</v>
      </c>
      <c r="O260" s="5">
        <f t="shared" si="59"/>
        <v>1.5471000000000004</v>
      </c>
      <c r="P260" s="5">
        <f t="shared" si="60"/>
        <v>15.161580000000118</v>
      </c>
    </row>
    <row r="261" spans="1:16" x14ac:dyDescent="0.5">
      <c r="A261" t="s">
        <v>182</v>
      </c>
      <c r="B261" t="str">
        <f t="shared" si="61"/>
        <v>RNG60xERR40xARM80</v>
      </c>
      <c r="C261">
        <v>60</v>
      </c>
      <c r="D261">
        <v>40</v>
      </c>
      <c r="E261">
        <v>80</v>
      </c>
      <c r="F261" t="s">
        <v>175</v>
      </c>
      <c r="G261">
        <v>100000</v>
      </c>
      <c r="H261" s="3">
        <v>52700</v>
      </c>
      <c r="I261" s="3">
        <f t="shared" si="54"/>
        <v>47300</v>
      </c>
      <c r="J261" s="3">
        <v>434257</v>
      </c>
      <c r="K261" s="3">
        <v>407558</v>
      </c>
      <c r="L261" s="9">
        <f t="shared" si="55"/>
        <v>0.52700000000000002</v>
      </c>
      <c r="M261" s="5">
        <f t="shared" si="56"/>
        <v>4.3425700000000003</v>
      </c>
      <c r="N261" s="5">
        <f t="shared" si="57"/>
        <v>4.0755800000000004</v>
      </c>
      <c r="O261" s="5">
        <f t="shared" si="59"/>
        <v>6.7294800000000032</v>
      </c>
      <c r="P261" s="5">
        <f t="shared" si="60"/>
        <v>66.492899999999992</v>
      </c>
    </row>
    <row r="262" spans="1:16" x14ac:dyDescent="0.5">
      <c r="A262" t="s">
        <v>182</v>
      </c>
      <c r="B262" t="str">
        <f t="shared" si="61"/>
        <v>RNG80xERR40xARM80</v>
      </c>
      <c r="C262">
        <v>80</v>
      </c>
      <c r="D262">
        <v>40</v>
      </c>
      <c r="E262">
        <v>80</v>
      </c>
      <c r="F262" t="s">
        <v>175</v>
      </c>
      <c r="G262">
        <v>100000</v>
      </c>
      <c r="H262" s="3">
        <v>52951</v>
      </c>
      <c r="I262" s="3">
        <f t="shared" si="54"/>
        <v>47049</v>
      </c>
      <c r="J262" s="3">
        <v>434550</v>
      </c>
      <c r="K262" s="3">
        <v>409204</v>
      </c>
      <c r="L262" s="9">
        <f t="shared" si="55"/>
        <v>0.52951000000000004</v>
      </c>
      <c r="M262" s="5">
        <f t="shared" si="56"/>
        <v>4.3455000000000004</v>
      </c>
      <c r="N262" s="5">
        <f t="shared" si="57"/>
        <v>4.0920399999999999</v>
      </c>
      <c r="O262" s="5">
        <f t="shared" si="59"/>
        <v>7.1361000000000052</v>
      </c>
      <c r="P262" s="5">
        <f t="shared" si="60"/>
        <v>63.826380000000086</v>
      </c>
    </row>
    <row r="263" spans="1:16" x14ac:dyDescent="0.5">
      <c r="A263" t="s">
        <v>182</v>
      </c>
      <c r="B263" t="str">
        <f t="shared" si="61"/>
        <v>RNG40xERR60xARM80</v>
      </c>
      <c r="C263">
        <v>40</v>
      </c>
      <c r="D263">
        <v>60</v>
      </c>
      <c r="E263">
        <v>80</v>
      </c>
      <c r="F263" t="s">
        <v>175</v>
      </c>
      <c r="G263">
        <v>100000</v>
      </c>
      <c r="H263" s="3">
        <v>49496</v>
      </c>
      <c r="I263" s="3">
        <f t="shared" si="54"/>
        <v>50504</v>
      </c>
      <c r="J263" s="3">
        <v>433647</v>
      </c>
      <c r="K263" s="3">
        <v>439572</v>
      </c>
      <c r="L263" s="9">
        <f t="shared" si="55"/>
        <v>0.49496000000000001</v>
      </c>
      <c r="M263" s="5">
        <f t="shared" si="56"/>
        <v>4.3364700000000003</v>
      </c>
      <c r="N263" s="5">
        <f t="shared" si="57"/>
        <v>4.3957199999999998</v>
      </c>
      <c r="O263" s="5">
        <f t="shared" si="59"/>
        <v>1.5390000000000015</v>
      </c>
      <c r="P263" s="5">
        <f t="shared" si="60"/>
        <v>14.63022000000009</v>
      </c>
    </row>
    <row r="264" spans="1:16" x14ac:dyDescent="0.5">
      <c r="A264" t="s">
        <v>182</v>
      </c>
      <c r="B264" t="str">
        <f t="shared" si="61"/>
        <v>RNG60xERR60xARM80</v>
      </c>
      <c r="C264">
        <v>60</v>
      </c>
      <c r="D264">
        <v>60</v>
      </c>
      <c r="E264">
        <v>80</v>
      </c>
      <c r="F264" t="s">
        <v>175</v>
      </c>
      <c r="G264">
        <v>100000</v>
      </c>
      <c r="H264" s="3">
        <v>52755</v>
      </c>
      <c r="I264" s="3">
        <f t="shared" si="54"/>
        <v>47245</v>
      </c>
      <c r="J264" s="3">
        <v>434415</v>
      </c>
      <c r="K264" s="3">
        <v>408808</v>
      </c>
      <c r="L264" s="9">
        <f t="shared" si="55"/>
        <v>0.52754999999999996</v>
      </c>
      <c r="M264" s="5">
        <f t="shared" si="56"/>
        <v>4.34415</v>
      </c>
      <c r="N264" s="5">
        <f t="shared" si="57"/>
        <v>4.0880799999999997</v>
      </c>
      <c r="O264" s="5">
        <f t="shared" si="59"/>
        <v>6.8185799999999936</v>
      </c>
      <c r="P264" s="5">
        <f t="shared" si="60"/>
        <v>64.467900000000114</v>
      </c>
    </row>
    <row r="265" spans="1:16" x14ac:dyDescent="0.5">
      <c r="A265" t="s">
        <v>182</v>
      </c>
      <c r="B265" t="str">
        <f t="shared" si="61"/>
        <v>RNG80xERR60xARM80</v>
      </c>
      <c r="C265">
        <v>80</v>
      </c>
      <c r="D265">
        <v>60</v>
      </c>
      <c r="E265">
        <v>80</v>
      </c>
      <c r="F265" t="s">
        <v>175</v>
      </c>
      <c r="G265">
        <v>100000</v>
      </c>
      <c r="H265" s="3">
        <v>52537</v>
      </c>
      <c r="I265" s="3">
        <f t="shared" si="54"/>
        <v>47463</v>
      </c>
      <c r="J265" s="3">
        <v>434183</v>
      </c>
      <c r="K265" s="3">
        <v>409999</v>
      </c>
      <c r="L265" s="9">
        <f t="shared" si="55"/>
        <v>0.52537</v>
      </c>
      <c r="M265" s="5">
        <f t="shared" si="56"/>
        <v>4.3418299999999999</v>
      </c>
      <c r="N265" s="5">
        <f t="shared" si="57"/>
        <v>4.09999</v>
      </c>
      <c r="O265" s="5">
        <f t="shared" si="59"/>
        <v>6.4654199999999999</v>
      </c>
      <c r="P265" s="5">
        <f t="shared" si="60"/>
        <v>62.538480000000064</v>
      </c>
    </row>
    <row r="266" spans="1:16" x14ac:dyDescent="0.5">
      <c r="A266" t="s">
        <v>182</v>
      </c>
      <c r="B266" t="str">
        <f t="shared" si="61"/>
        <v>RNG40xERR80xARM80</v>
      </c>
      <c r="C266">
        <v>40</v>
      </c>
      <c r="D266">
        <v>80</v>
      </c>
      <c r="E266">
        <v>80</v>
      </c>
      <c r="F266" t="s">
        <v>175</v>
      </c>
      <c r="G266">
        <v>100000</v>
      </c>
      <c r="H266" s="3">
        <v>50017</v>
      </c>
      <c r="I266" s="3">
        <f t="shared" si="54"/>
        <v>49983</v>
      </c>
      <c r="J266" s="3">
        <v>434951</v>
      </c>
      <c r="K266" s="3">
        <v>435846</v>
      </c>
      <c r="L266" s="9">
        <f t="shared" si="55"/>
        <v>0.50017</v>
      </c>
      <c r="M266" s="5">
        <f t="shared" si="56"/>
        <v>4.3495100000000004</v>
      </c>
      <c r="N266" s="5">
        <f t="shared" si="57"/>
        <v>4.35846</v>
      </c>
      <c r="O266" s="5">
        <f t="shared" si="59"/>
        <v>2.3830200000000001</v>
      </c>
      <c r="P266" s="5">
        <f t="shared" si="60"/>
        <v>20.666340000000066</v>
      </c>
    </row>
    <row r="267" spans="1:16" x14ac:dyDescent="0.5">
      <c r="A267" t="s">
        <v>182</v>
      </c>
      <c r="B267" t="str">
        <f t="shared" si="61"/>
        <v>RNG60xERR80xARM80</v>
      </c>
      <c r="C267">
        <v>60</v>
      </c>
      <c r="D267">
        <v>80</v>
      </c>
      <c r="E267">
        <v>80</v>
      </c>
      <c r="F267" t="s">
        <v>175</v>
      </c>
      <c r="G267">
        <v>100000</v>
      </c>
      <c r="H267" s="3">
        <v>52630</v>
      </c>
      <c r="I267" s="3">
        <f t="shared" si="54"/>
        <v>47370</v>
      </c>
      <c r="J267" s="3">
        <v>432637</v>
      </c>
      <c r="K267" s="3">
        <v>407522</v>
      </c>
      <c r="L267" s="9">
        <f t="shared" si="55"/>
        <v>0.52629999999999999</v>
      </c>
      <c r="M267" s="5">
        <f t="shared" si="56"/>
        <v>4.3263699999999998</v>
      </c>
      <c r="N267" s="5">
        <f t="shared" si="57"/>
        <v>4.0752199999999998</v>
      </c>
      <c r="O267" s="5">
        <f t="shared" si="59"/>
        <v>6.6160799999999984</v>
      </c>
      <c r="P267" s="5">
        <f t="shared" si="60"/>
        <v>66.551220000000086</v>
      </c>
    </row>
    <row r="268" spans="1:16" x14ac:dyDescent="0.5">
      <c r="A268" t="s">
        <v>182</v>
      </c>
      <c r="B268" t="str">
        <f t="shared" si="61"/>
        <v>RNG80xERR80xARM80</v>
      </c>
      <c r="C268">
        <v>80</v>
      </c>
      <c r="D268">
        <v>80</v>
      </c>
      <c r="E268">
        <v>80</v>
      </c>
      <c r="F268" t="s">
        <v>175</v>
      </c>
      <c r="G268">
        <v>100000</v>
      </c>
      <c r="H268" s="3">
        <v>52817</v>
      </c>
      <c r="I268" s="3">
        <f t="shared" si="54"/>
        <v>47183</v>
      </c>
      <c r="J268" s="3">
        <v>436021</v>
      </c>
      <c r="K268" s="3">
        <v>409160</v>
      </c>
      <c r="L268" s="9">
        <f t="shared" si="55"/>
        <v>0.52817000000000003</v>
      </c>
      <c r="M268" s="5">
        <f t="shared" si="56"/>
        <v>4.3602100000000004</v>
      </c>
      <c r="N268" s="5">
        <f t="shared" si="57"/>
        <v>4.0915999999999997</v>
      </c>
      <c r="O268" s="5">
        <f t="shared" si="59"/>
        <v>6.9190200000000042</v>
      </c>
      <c r="P268" s="5">
        <f t="shared" si="60"/>
        <v>63.897660000000116</v>
      </c>
    </row>
    <row r="269" spans="1:16" x14ac:dyDescent="0.5">
      <c r="A269" t="s">
        <v>182</v>
      </c>
      <c r="B269" t="str">
        <f t="shared" si="61"/>
        <v>RNG45xERR60xARM60</v>
      </c>
      <c r="C269">
        <v>45</v>
      </c>
      <c r="D269">
        <v>60</v>
      </c>
      <c r="E269">
        <v>60</v>
      </c>
      <c r="F269" t="s">
        <v>175</v>
      </c>
      <c r="G269">
        <v>100000</v>
      </c>
      <c r="H269" s="3">
        <v>49522</v>
      </c>
      <c r="I269" s="3">
        <f t="shared" si="54"/>
        <v>50478</v>
      </c>
      <c r="J269" s="3">
        <v>435201</v>
      </c>
      <c r="K269" s="3">
        <v>441700</v>
      </c>
      <c r="L269" s="9">
        <f t="shared" si="55"/>
        <v>0.49521999999999999</v>
      </c>
      <c r="M269" s="5">
        <f t="shared" si="56"/>
        <v>4.3520099999999999</v>
      </c>
      <c r="N269" s="5">
        <f t="shared" si="57"/>
        <v>4.4169999999999998</v>
      </c>
      <c r="O269" s="5">
        <f t="shared" si="59"/>
        <v>1.5811199999999985</v>
      </c>
      <c r="P269" s="5">
        <f t="shared" si="60"/>
        <v>11.182860000000096</v>
      </c>
    </row>
    <row r="270" spans="1:16" x14ac:dyDescent="0.5">
      <c r="A270" t="s">
        <v>182</v>
      </c>
      <c r="B270" t="str">
        <f t="shared" si="61"/>
        <v>RNG50xERR60xARM60</v>
      </c>
      <c r="C270">
        <v>50</v>
      </c>
      <c r="D270">
        <v>60</v>
      </c>
      <c r="E270">
        <v>60</v>
      </c>
      <c r="F270" t="s">
        <v>175</v>
      </c>
      <c r="G270">
        <v>100000</v>
      </c>
      <c r="H270" s="3">
        <v>49777</v>
      </c>
      <c r="I270" s="3">
        <f t="shared" si="54"/>
        <v>50223</v>
      </c>
      <c r="J270" s="3">
        <v>431895</v>
      </c>
      <c r="K270" s="3">
        <v>433015</v>
      </c>
      <c r="L270" s="9">
        <f t="shared" si="55"/>
        <v>0.49776999999999999</v>
      </c>
      <c r="M270" s="5">
        <f t="shared" si="56"/>
        <v>4.3189500000000001</v>
      </c>
      <c r="N270" s="5">
        <f t="shared" si="57"/>
        <v>4.3301499999999997</v>
      </c>
      <c r="O270" s="5">
        <f t="shared" si="59"/>
        <v>1.9942199999999981</v>
      </c>
      <c r="P270" s="5">
        <f t="shared" si="60"/>
        <v>25.252560000000109</v>
      </c>
    </row>
    <row r="271" spans="1:16" x14ac:dyDescent="0.5">
      <c r="A271" t="s">
        <v>182</v>
      </c>
      <c r="B271" t="str">
        <f t="shared" si="61"/>
        <v>RNG55xERR60xARM60</v>
      </c>
      <c r="C271">
        <v>55</v>
      </c>
      <c r="D271">
        <v>60</v>
      </c>
      <c r="E271">
        <v>60</v>
      </c>
      <c r="F271" t="s">
        <v>175</v>
      </c>
      <c r="G271">
        <v>100000</v>
      </c>
      <c r="H271" s="3">
        <v>52472</v>
      </c>
      <c r="I271" s="3">
        <f t="shared" si="54"/>
        <v>47528</v>
      </c>
      <c r="J271" s="3">
        <v>435245</v>
      </c>
      <c r="K271" s="3">
        <v>412107</v>
      </c>
      <c r="L271" s="9">
        <f t="shared" si="55"/>
        <v>0.52471999999999996</v>
      </c>
      <c r="M271" s="5">
        <f t="shared" si="56"/>
        <v>4.3524500000000002</v>
      </c>
      <c r="N271" s="5">
        <f t="shared" si="57"/>
        <v>4.1210699999999996</v>
      </c>
      <c r="O271" s="5">
        <f t="shared" si="59"/>
        <v>6.360119999999994</v>
      </c>
      <c r="P271" s="5">
        <f t="shared" si="60"/>
        <v>59.123520000000134</v>
      </c>
    </row>
    <row r="272" spans="1:16" x14ac:dyDescent="0.5">
      <c r="A272" s="23" t="s">
        <v>181</v>
      </c>
      <c r="B272" s="18" t="s">
        <v>165</v>
      </c>
      <c r="C272" s="18">
        <v>55</v>
      </c>
      <c r="D272" s="18">
        <v>55</v>
      </c>
      <c r="E272" s="18">
        <v>50</v>
      </c>
      <c r="F272" s="18" t="s">
        <v>175</v>
      </c>
      <c r="G272" s="18">
        <v>100000</v>
      </c>
      <c r="H272" s="19">
        <v>50147.333333333336</v>
      </c>
      <c r="I272" s="19">
        <v>49852.666666666664</v>
      </c>
      <c r="J272" s="19">
        <v>434431.33333333331</v>
      </c>
      <c r="K272" s="19">
        <v>433994.66666666669</v>
      </c>
      <c r="L272" s="20">
        <v>0.50147333333333333</v>
      </c>
      <c r="M272" s="21">
        <v>4.344313333333333</v>
      </c>
      <c r="N272" s="21">
        <v>4.3399466666666671</v>
      </c>
      <c r="O272" s="21" t="s">
        <v>50</v>
      </c>
      <c r="P272" s="22" t="s">
        <v>50</v>
      </c>
    </row>
    <row r="273" spans="1:16" x14ac:dyDescent="0.5">
      <c r="A273" t="s">
        <v>181</v>
      </c>
      <c r="B273" t="str">
        <f>_xlfn.CONCAT("BLK",C273,"xFRM",D273,"xARM",E273)</f>
        <v>BLK80xFRM55xARM50</v>
      </c>
      <c r="C273">
        <v>80</v>
      </c>
      <c r="D273">
        <v>55</v>
      </c>
      <c r="E273">
        <v>50</v>
      </c>
      <c r="F273" t="s">
        <v>175</v>
      </c>
      <c r="G273">
        <v>100000</v>
      </c>
      <c r="H273" s="3">
        <v>50259</v>
      </c>
      <c r="I273" s="3">
        <f>G273-H273</f>
        <v>49741</v>
      </c>
      <c r="J273" s="3">
        <v>434240</v>
      </c>
      <c r="K273" s="3">
        <v>431768</v>
      </c>
      <c r="L273" s="9">
        <f>H273/G273</f>
        <v>0.50258999999999998</v>
      </c>
      <c r="M273" s="5">
        <f>J273/G273</f>
        <v>4.3423999999999996</v>
      </c>
      <c r="N273" s="5">
        <f>K273/G273</f>
        <v>4.3176800000000002</v>
      </c>
      <c r="O273" s="5">
        <f>(L273-$L$7)*162</f>
        <v>0.18089999999999806</v>
      </c>
      <c r="P273" s="4">
        <f>-(N273-$N$7)*162</f>
        <v>3.6072000000000344</v>
      </c>
    </row>
    <row r="274" spans="1:16" x14ac:dyDescent="0.5">
      <c r="A274" t="s">
        <v>181</v>
      </c>
      <c r="B274" t="str">
        <f t="shared" ref="B274:B302" si="62">_xlfn.CONCAT("BLK",C274,"xFRM",D274,"xARM",E274)</f>
        <v>BLK55xFRM55xARM40</v>
      </c>
      <c r="C274">
        <v>55</v>
      </c>
      <c r="D274">
        <v>55</v>
      </c>
      <c r="E274">
        <v>40</v>
      </c>
      <c r="F274" t="s">
        <v>175</v>
      </c>
      <c r="G274">
        <v>100000</v>
      </c>
      <c r="H274" s="3">
        <v>49991</v>
      </c>
      <c r="I274" s="3">
        <f t="shared" ref="I274:I302" si="63">G274-H274</f>
        <v>50009</v>
      </c>
      <c r="J274" s="3">
        <v>436118</v>
      </c>
      <c r="K274" s="3">
        <v>435866</v>
      </c>
      <c r="L274" s="9">
        <f t="shared" ref="L274:L302" si="64">H274/G274</f>
        <v>0.49991000000000002</v>
      </c>
      <c r="M274" s="5">
        <f t="shared" ref="M274:M302" si="65">J274/G274</f>
        <v>4.3611800000000001</v>
      </c>
      <c r="N274" s="5">
        <f t="shared" ref="N274:N302" si="66">K274/G274</f>
        <v>4.3586600000000004</v>
      </c>
      <c r="O274" s="5">
        <f t="shared" ref="O274:O302" si="67">(L274-$L$7)*162</f>
        <v>-0.25325999999999549</v>
      </c>
      <c r="P274" s="4">
        <f t="shared" ref="P274:P302" si="68">-(N274-$N$7)*162</f>
        <v>-3.0315600000000043</v>
      </c>
    </row>
    <row r="275" spans="1:16" x14ac:dyDescent="0.5">
      <c r="A275" t="s">
        <v>181</v>
      </c>
      <c r="B275" t="str">
        <f t="shared" si="62"/>
        <v>BLK55xFRM55xARM80</v>
      </c>
      <c r="C275">
        <v>55</v>
      </c>
      <c r="D275">
        <v>55</v>
      </c>
      <c r="E275">
        <v>80</v>
      </c>
      <c r="F275" t="s">
        <v>175</v>
      </c>
      <c r="G275">
        <v>100000</v>
      </c>
      <c r="H275" s="3">
        <v>49893</v>
      </c>
      <c r="I275" s="3">
        <f t="shared" si="63"/>
        <v>50107</v>
      </c>
      <c r="J275" s="3">
        <v>434546</v>
      </c>
      <c r="K275" s="3">
        <v>434254</v>
      </c>
      <c r="L275" s="9">
        <f t="shared" si="64"/>
        <v>0.49892999999999998</v>
      </c>
      <c r="M275" s="5">
        <f t="shared" si="65"/>
        <v>4.3454600000000001</v>
      </c>
      <c r="N275" s="5">
        <f t="shared" si="66"/>
        <v>4.3425399999999996</v>
      </c>
      <c r="O275" s="5">
        <f t="shared" si="67"/>
        <v>-0.41202000000000139</v>
      </c>
      <c r="P275" s="4">
        <f t="shared" si="68"/>
        <v>-0.42011999999987459</v>
      </c>
    </row>
    <row r="276" spans="1:16" x14ac:dyDescent="0.5">
      <c r="A276" t="s">
        <v>181</v>
      </c>
      <c r="B276" t="str">
        <f t="shared" si="62"/>
        <v>BLK40xFRM40xARM50</v>
      </c>
      <c r="C276">
        <v>40</v>
      </c>
      <c r="D276">
        <v>40</v>
      </c>
      <c r="E276">
        <v>50</v>
      </c>
      <c r="F276" t="s">
        <v>175</v>
      </c>
      <c r="G276">
        <v>100000</v>
      </c>
      <c r="H276" s="3">
        <v>48520</v>
      </c>
      <c r="I276" s="3">
        <f t="shared" si="63"/>
        <v>51480</v>
      </c>
      <c r="J276" s="3">
        <v>434375</v>
      </c>
      <c r="K276" s="3">
        <v>449338</v>
      </c>
      <c r="L276" s="9">
        <f t="shared" si="64"/>
        <v>0.48520000000000002</v>
      </c>
      <c r="M276" s="5">
        <f t="shared" si="65"/>
        <v>4.34375</v>
      </c>
      <c r="N276" s="5">
        <f t="shared" si="66"/>
        <v>4.4933800000000002</v>
      </c>
      <c r="O276" s="5">
        <f t="shared" si="67"/>
        <v>-2.6362799999999957</v>
      </c>
      <c r="P276" s="4">
        <f t="shared" si="68"/>
        <v>-24.856199999999959</v>
      </c>
    </row>
    <row r="277" spans="1:16" x14ac:dyDescent="0.5">
      <c r="A277" t="s">
        <v>181</v>
      </c>
      <c r="B277" t="str">
        <f t="shared" si="62"/>
        <v>BLK40xFRM45xARM50</v>
      </c>
      <c r="C277">
        <v>40</v>
      </c>
      <c r="D277">
        <v>45</v>
      </c>
      <c r="E277">
        <v>50</v>
      </c>
      <c r="F277" t="s">
        <v>175</v>
      </c>
      <c r="G277">
        <v>100000</v>
      </c>
      <c r="H277" s="3">
        <v>49015</v>
      </c>
      <c r="I277" s="3">
        <f t="shared" si="63"/>
        <v>50985</v>
      </c>
      <c r="J277" s="3">
        <v>434246</v>
      </c>
      <c r="K277" s="3">
        <v>444133</v>
      </c>
      <c r="L277" s="9">
        <f t="shared" si="64"/>
        <v>0.49014999999999997</v>
      </c>
      <c r="M277" s="5">
        <f t="shared" si="65"/>
        <v>4.34246</v>
      </c>
      <c r="N277" s="5">
        <f t="shared" si="66"/>
        <v>4.4413299999999998</v>
      </c>
      <c r="O277" s="5">
        <f t="shared" si="67"/>
        <v>-1.834380000000003</v>
      </c>
      <c r="P277" s="4">
        <f t="shared" si="68"/>
        <v>-16.4240999999999</v>
      </c>
    </row>
    <row r="278" spans="1:16" x14ac:dyDescent="0.5">
      <c r="A278" t="s">
        <v>181</v>
      </c>
      <c r="B278" t="str">
        <f t="shared" si="62"/>
        <v>BLK40xFRM50xARM50</v>
      </c>
      <c r="C278">
        <v>40</v>
      </c>
      <c r="D278">
        <v>50</v>
      </c>
      <c r="E278">
        <v>50</v>
      </c>
      <c r="F278" t="s">
        <v>175</v>
      </c>
      <c r="G278">
        <v>100000</v>
      </c>
      <c r="H278" s="3">
        <v>49412</v>
      </c>
      <c r="I278" s="3">
        <f t="shared" si="63"/>
        <v>50588</v>
      </c>
      <c r="J278" s="3">
        <v>434006</v>
      </c>
      <c r="K278" s="3">
        <v>439681</v>
      </c>
      <c r="L278" s="9">
        <f t="shared" si="64"/>
        <v>0.49412</v>
      </c>
      <c r="M278" s="5">
        <f t="shared" si="65"/>
        <v>4.3400600000000003</v>
      </c>
      <c r="N278" s="5">
        <f t="shared" si="66"/>
        <v>4.3968100000000003</v>
      </c>
      <c r="O278" s="5">
        <f t="shared" si="67"/>
        <v>-1.1912399999999983</v>
      </c>
      <c r="P278" s="4">
        <f t="shared" si="68"/>
        <v>-9.2118599999999891</v>
      </c>
    </row>
    <row r="279" spans="1:16" x14ac:dyDescent="0.5">
      <c r="A279" t="s">
        <v>181</v>
      </c>
      <c r="B279" t="str">
        <f>_xlfn.CONCAT("BLK",C279,"xFRM",D279,"xARM",E279)</f>
        <v>BLK40xFRM55xARM50</v>
      </c>
      <c r="C279">
        <v>40</v>
      </c>
      <c r="D279">
        <v>55</v>
      </c>
      <c r="E279">
        <v>50</v>
      </c>
      <c r="F279" t="s">
        <v>175</v>
      </c>
      <c r="G279">
        <v>100000</v>
      </c>
      <c r="H279" s="3">
        <v>49773</v>
      </c>
      <c r="I279" s="3">
        <f>G279-H279</f>
        <v>50227</v>
      </c>
      <c r="J279" s="3">
        <v>432594</v>
      </c>
      <c r="K279" s="3">
        <v>434938</v>
      </c>
      <c r="L279" s="9">
        <f>H279/G279</f>
        <v>0.49773000000000001</v>
      </c>
      <c r="M279" s="5">
        <f>J279/G279</f>
        <v>4.3259400000000001</v>
      </c>
      <c r="N279" s="5">
        <f>K279/G279</f>
        <v>4.34938</v>
      </c>
      <c r="O279" s="5">
        <f>(L279-$L$7)*162</f>
        <v>-0.60641999999999796</v>
      </c>
      <c r="P279" s="4">
        <f>-(N279-$N$7)*162</f>
        <v>-1.5281999999999396</v>
      </c>
    </row>
    <row r="280" spans="1:16" x14ac:dyDescent="0.5">
      <c r="A280" t="s">
        <v>181</v>
      </c>
      <c r="B280" t="str">
        <f t="shared" si="62"/>
        <v>BLK40xFRM60xARM50</v>
      </c>
      <c r="C280">
        <v>40</v>
      </c>
      <c r="D280">
        <v>60</v>
      </c>
      <c r="E280">
        <v>50</v>
      </c>
      <c r="F280" t="s">
        <v>175</v>
      </c>
      <c r="G280">
        <v>100000</v>
      </c>
      <c r="H280" s="3">
        <v>50096</v>
      </c>
      <c r="I280" s="3">
        <f t="shared" si="63"/>
        <v>49904</v>
      </c>
      <c r="J280" s="3">
        <v>433519</v>
      </c>
      <c r="K280" s="3">
        <v>432999</v>
      </c>
      <c r="L280" s="9">
        <f t="shared" si="64"/>
        <v>0.50095999999999996</v>
      </c>
      <c r="M280" s="5">
        <f t="shared" si="65"/>
        <v>4.3351899999999999</v>
      </c>
      <c r="N280" s="5">
        <f t="shared" si="66"/>
        <v>4.3299899999999996</v>
      </c>
      <c r="O280" s="5">
        <f t="shared" si="67"/>
        <v>-8.316000000000523E-2</v>
      </c>
      <c r="P280" s="4">
        <f t="shared" si="68"/>
        <v>1.6129800000001353</v>
      </c>
    </row>
    <row r="281" spans="1:16" x14ac:dyDescent="0.5">
      <c r="A281" t="s">
        <v>181</v>
      </c>
      <c r="B281" t="str">
        <f t="shared" si="62"/>
        <v>BLK40xFRM65xARM50</v>
      </c>
      <c r="C281">
        <v>40</v>
      </c>
      <c r="D281">
        <v>65</v>
      </c>
      <c r="E281">
        <v>50</v>
      </c>
      <c r="F281" t="s">
        <v>175</v>
      </c>
      <c r="G281">
        <v>100000</v>
      </c>
      <c r="H281" s="3">
        <v>50602</v>
      </c>
      <c r="I281" s="3">
        <f t="shared" si="63"/>
        <v>49398</v>
      </c>
      <c r="J281" s="3">
        <v>433118</v>
      </c>
      <c r="K281" s="3">
        <v>430022</v>
      </c>
      <c r="L281" s="9">
        <f t="shared" si="64"/>
        <v>0.50602000000000003</v>
      </c>
      <c r="M281" s="5">
        <f t="shared" si="65"/>
        <v>4.3311799999999998</v>
      </c>
      <c r="N281" s="5">
        <f t="shared" si="66"/>
        <v>4.3002200000000004</v>
      </c>
      <c r="O281" s="5">
        <f t="shared" si="67"/>
        <v>0.73656000000000521</v>
      </c>
      <c r="P281" s="4">
        <f t="shared" si="68"/>
        <v>6.4357200000000034</v>
      </c>
    </row>
    <row r="282" spans="1:16" x14ac:dyDescent="0.5">
      <c r="A282" t="s">
        <v>181</v>
      </c>
      <c r="B282" t="str">
        <f t="shared" si="62"/>
        <v>BLK40xFRM70xARM50</v>
      </c>
      <c r="C282">
        <v>40</v>
      </c>
      <c r="D282">
        <v>70</v>
      </c>
      <c r="E282">
        <v>50</v>
      </c>
      <c r="F282" t="s">
        <v>175</v>
      </c>
      <c r="G282">
        <v>100000</v>
      </c>
      <c r="H282" s="3">
        <v>50250</v>
      </c>
      <c r="I282" s="3">
        <f t="shared" si="63"/>
        <v>49750</v>
      </c>
      <c r="J282" s="3">
        <v>434126</v>
      </c>
      <c r="K282" s="3">
        <v>430420</v>
      </c>
      <c r="L282" s="9">
        <f t="shared" si="64"/>
        <v>0.50249999999999995</v>
      </c>
      <c r="M282" s="5">
        <f t="shared" si="65"/>
        <v>4.3412600000000001</v>
      </c>
      <c r="N282" s="5">
        <f t="shared" si="66"/>
        <v>4.3041999999999998</v>
      </c>
      <c r="O282" s="5">
        <f t="shared" si="67"/>
        <v>0.16631999999999247</v>
      </c>
      <c r="P282" s="4">
        <f t="shared" si="68"/>
        <v>5.790960000000096</v>
      </c>
    </row>
    <row r="283" spans="1:16" x14ac:dyDescent="0.5">
      <c r="A283" t="s">
        <v>181</v>
      </c>
      <c r="B283" t="str">
        <f t="shared" si="62"/>
        <v>BLK40xFRM75xARM50</v>
      </c>
      <c r="C283">
        <v>40</v>
      </c>
      <c r="D283">
        <v>75</v>
      </c>
      <c r="E283">
        <v>50</v>
      </c>
      <c r="F283" t="s">
        <v>175</v>
      </c>
      <c r="G283">
        <v>100000</v>
      </c>
      <c r="H283" s="3">
        <v>50363</v>
      </c>
      <c r="I283" s="3">
        <f t="shared" si="63"/>
        <v>49637</v>
      </c>
      <c r="J283" s="3">
        <v>433279</v>
      </c>
      <c r="K283" s="3">
        <v>430447</v>
      </c>
      <c r="L283" s="9">
        <f t="shared" si="64"/>
        <v>0.50363000000000002</v>
      </c>
      <c r="M283" s="5">
        <f t="shared" si="65"/>
        <v>4.3327900000000001</v>
      </c>
      <c r="N283" s="5">
        <f t="shared" si="66"/>
        <v>4.3044700000000002</v>
      </c>
      <c r="O283" s="5">
        <f t="shared" si="67"/>
        <v>0.34938000000000469</v>
      </c>
      <c r="P283" s="4">
        <f t="shared" si="68"/>
        <v>5.7472200000000253</v>
      </c>
    </row>
    <row r="284" spans="1:16" x14ac:dyDescent="0.5">
      <c r="A284" t="s">
        <v>181</v>
      </c>
      <c r="B284" t="str">
        <f t="shared" si="62"/>
        <v>BLK40xFRM80xARM50</v>
      </c>
      <c r="C284">
        <v>40</v>
      </c>
      <c r="D284">
        <v>80</v>
      </c>
      <c r="E284">
        <v>50</v>
      </c>
      <c r="F284" t="s">
        <v>175</v>
      </c>
      <c r="G284">
        <v>100000</v>
      </c>
      <c r="H284" s="3">
        <v>50274</v>
      </c>
      <c r="I284" s="3">
        <f t="shared" si="63"/>
        <v>49726</v>
      </c>
      <c r="J284" s="3">
        <v>433386</v>
      </c>
      <c r="K284" s="3">
        <v>430235</v>
      </c>
      <c r="L284" s="9">
        <f t="shared" si="64"/>
        <v>0.50273999999999996</v>
      </c>
      <c r="M284" s="5">
        <f t="shared" si="65"/>
        <v>4.3338599999999996</v>
      </c>
      <c r="N284" s="5">
        <f t="shared" si="66"/>
        <v>4.3023499999999997</v>
      </c>
      <c r="O284" s="5">
        <f t="shared" si="67"/>
        <v>0.20519999999999539</v>
      </c>
      <c r="P284" s="4">
        <f t="shared" si="68"/>
        <v>6.090660000000117</v>
      </c>
    </row>
    <row r="285" spans="1:16" x14ac:dyDescent="0.5">
      <c r="A285" t="s">
        <v>181</v>
      </c>
      <c r="B285" t="str">
        <f>_xlfn.CONCAT("BLK",C285,"xFRM",D285,"xARM",E285)</f>
        <v>BLK55xFRM40xARM50</v>
      </c>
      <c r="C285">
        <v>55</v>
      </c>
      <c r="D285">
        <v>40</v>
      </c>
      <c r="E285">
        <v>50</v>
      </c>
      <c r="F285" t="s">
        <v>175</v>
      </c>
      <c r="G285">
        <v>100000</v>
      </c>
      <c r="H285" s="3">
        <v>48658</v>
      </c>
      <c r="I285" s="3">
        <f>G285-H285</f>
        <v>51342</v>
      </c>
      <c r="J285" s="3">
        <v>435201</v>
      </c>
      <c r="K285" s="3">
        <v>448365</v>
      </c>
      <c r="L285" s="9">
        <f>H285/G285</f>
        <v>0.48658000000000001</v>
      </c>
      <c r="M285" s="5">
        <f>J285/G285</f>
        <v>4.3520099999999999</v>
      </c>
      <c r="N285" s="5">
        <f>K285/G285</f>
        <v>4.4836499999999999</v>
      </c>
      <c r="O285" s="5">
        <f>(L285-$L$7)*162</f>
        <v>-2.4127199999999966</v>
      </c>
      <c r="P285" s="4">
        <f>-(N285-$N$7)*162</f>
        <v>-23.279939999999922</v>
      </c>
    </row>
    <row r="286" spans="1:16" x14ac:dyDescent="0.5">
      <c r="A286" t="s">
        <v>181</v>
      </c>
      <c r="B286" t="str">
        <f t="shared" si="62"/>
        <v>BLK55xFRM45xARM50</v>
      </c>
      <c r="C286">
        <v>55</v>
      </c>
      <c r="D286">
        <v>45</v>
      </c>
      <c r="E286">
        <v>50</v>
      </c>
      <c r="F286" t="s">
        <v>175</v>
      </c>
      <c r="G286">
        <v>100000</v>
      </c>
      <c r="H286" s="3">
        <v>49241</v>
      </c>
      <c r="I286" s="3">
        <f t="shared" si="63"/>
        <v>50759</v>
      </c>
      <c r="J286" s="3">
        <v>434082</v>
      </c>
      <c r="K286" s="3">
        <v>442602</v>
      </c>
      <c r="L286" s="9">
        <f t="shared" si="64"/>
        <v>0.49241000000000001</v>
      </c>
      <c r="M286" s="5">
        <f t="shared" si="65"/>
        <v>4.3408199999999999</v>
      </c>
      <c r="N286" s="5">
        <f t="shared" si="66"/>
        <v>4.4260200000000003</v>
      </c>
      <c r="O286" s="5">
        <f t="shared" si="67"/>
        <v>-1.4682599999999966</v>
      </c>
      <c r="P286" s="4">
        <f t="shared" si="68"/>
        <v>-13.943879999999982</v>
      </c>
    </row>
    <row r="287" spans="1:16" x14ac:dyDescent="0.5">
      <c r="A287" t="s">
        <v>181</v>
      </c>
      <c r="B287" t="str">
        <f t="shared" si="62"/>
        <v>BLK55xFRM50xARM50</v>
      </c>
      <c r="C287">
        <v>55</v>
      </c>
      <c r="D287">
        <v>50</v>
      </c>
      <c r="E287">
        <v>50</v>
      </c>
      <c r="F287" t="s">
        <v>175</v>
      </c>
      <c r="G287">
        <v>100000</v>
      </c>
      <c r="H287" s="3">
        <v>49692</v>
      </c>
      <c r="I287" s="3">
        <f t="shared" si="63"/>
        <v>50308</v>
      </c>
      <c r="J287" s="3">
        <v>435917</v>
      </c>
      <c r="K287" s="3">
        <v>439084</v>
      </c>
      <c r="L287" s="9">
        <f t="shared" si="64"/>
        <v>0.49691999999999997</v>
      </c>
      <c r="M287" s="5">
        <f t="shared" si="65"/>
        <v>4.3591699999999998</v>
      </c>
      <c r="N287" s="5">
        <f t="shared" si="66"/>
        <v>4.3908399999999999</v>
      </c>
      <c r="O287" s="5">
        <f t="shared" si="67"/>
        <v>-0.73764000000000329</v>
      </c>
      <c r="P287" s="4">
        <f t="shared" si="68"/>
        <v>-8.2447199999999121</v>
      </c>
    </row>
    <row r="288" spans="1:16" x14ac:dyDescent="0.5">
      <c r="A288" t="s">
        <v>181</v>
      </c>
      <c r="B288" t="str">
        <f t="shared" si="62"/>
        <v>BLK55xFRM60xARM50</v>
      </c>
      <c r="C288">
        <v>55</v>
      </c>
      <c r="D288">
        <v>60</v>
      </c>
      <c r="E288">
        <v>50</v>
      </c>
      <c r="F288" t="s">
        <v>175</v>
      </c>
      <c r="G288">
        <v>100000</v>
      </c>
      <c r="H288" s="3">
        <v>50294</v>
      </c>
      <c r="I288" s="3">
        <f t="shared" si="63"/>
        <v>49706</v>
      </c>
      <c r="J288" s="3">
        <v>433988</v>
      </c>
      <c r="K288" s="3">
        <v>431858</v>
      </c>
      <c r="L288" s="9">
        <f t="shared" si="64"/>
        <v>0.50294000000000005</v>
      </c>
      <c r="M288" s="5">
        <f t="shared" si="65"/>
        <v>4.33988</v>
      </c>
      <c r="N288" s="5">
        <f t="shared" si="66"/>
        <v>4.3185799999999999</v>
      </c>
      <c r="O288" s="5">
        <f t="shared" si="67"/>
        <v>0.2376000000000098</v>
      </c>
      <c r="P288" s="4">
        <f t="shared" si="68"/>
        <v>3.4614000000000864</v>
      </c>
    </row>
    <row r="289" spans="1:16" x14ac:dyDescent="0.5">
      <c r="A289" t="s">
        <v>181</v>
      </c>
      <c r="B289" t="str">
        <f t="shared" si="62"/>
        <v>BLK55xFRM65xARM50</v>
      </c>
      <c r="C289">
        <v>55</v>
      </c>
      <c r="D289">
        <v>65</v>
      </c>
      <c r="E289">
        <v>50</v>
      </c>
      <c r="F289" t="s">
        <v>175</v>
      </c>
      <c r="G289">
        <v>100000</v>
      </c>
      <c r="H289" s="3">
        <v>50452</v>
      </c>
      <c r="I289" s="3">
        <f t="shared" si="63"/>
        <v>49548</v>
      </c>
      <c r="J289" s="3">
        <v>434833</v>
      </c>
      <c r="K289" s="3">
        <v>429621</v>
      </c>
      <c r="L289" s="9">
        <f t="shared" si="64"/>
        <v>0.50451999999999997</v>
      </c>
      <c r="M289" s="5">
        <f t="shared" si="65"/>
        <v>4.3483299999999998</v>
      </c>
      <c r="N289" s="5">
        <f t="shared" si="66"/>
        <v>4.2962100000000003</v>
      </c>
      <c r="O289" s="5">
        <f t="shared" si="67"/>
        <v>0.493559999999996</v>
      </c>
      <c r="P289" s="4">
        <f t="shared" si="68"/>
        <v>7.0853400000000146</v>
      </c>
    </row>
    <row r="290" spans="1:16" x14ac:dyDescent="0.5">
      <c r="A290" t="s">
        <v>181</v>
      </c>
      <c r="B290" t="str">
        <f t="shared" si="62"/>
        <v>BLK55xFRM70xARM50</v>
      </c>
      <c r="C290">
        <v>55</v>
      </c>
      <c r="D290">
        <v>70</v>
      </c>
      <c r="E290">
        <v>50</v>
      </c>
      <c r="F290" t="s">
        <v>175</v>
      </c>
      <c r="G290">
        <v>100000</v>
      </c>
      <c r="H290" s="3">
        <v>50544</v>
      </c>
      <c r="I290" s="3">
        <f t="shared" si="63"/>
        <v>49456</v>
      </c>
      <c r="J290" s="3">
        <v>433716</v>
      </c>
      <c r="K290" s="3">
        <v>428956</v>
      </c>
      <c r="L290" s="9">
        <f t="shared" si="64"/>
        <v>0.50544</v>
      </c>
      <c r="M290" s="5">
        <f t="shared" si="65"/>
        <v>4.3371599999999999</v>
      </c>
      <c r="N290" s="5">
        <f t="shared" si="66"/>
        <v>4.2895599999999998</v>
      </c>
      <c r="O290" s="5">
        <f t="shared" si="67"/>
        <v>0.64260000000000117</v>
      </c>
      <c r="P290" s="4">
        <f t="shared" si="68"/>
        <v>8.1626400000000938</v>
      </c>
    </row>
    <row r="291" spans="1:16" x14ac:dyDescent="0.5">
      <c r="A291" t="s">
        <v>181</v>
      </c>
      <c r="B291" t="str">
        <f t="shared" si="62"/>
        <v>BLK55xFRM75xARM50</v>
      </c>
      <c r="C291">
        <v>55</v>
      </c>
      <c r="D291">
        <v>75</v>
      </c>
      <c r="E291">
        <v>50</v>
      </c>
      <c r="F291" t="s">
        <v>175</v>
      </c>
      <c r="G291">
        <v>100000</v>
      </c>
      <c r="H291" s="3">
        <v>50419</v>
      </c>
      <c r="I291" s="3">
        <f t="shared" si="63"/>
        <v>49581</v>
      </c>
      <c r="J291" s="3">
        <v>434777</v>
      </c>
      <c r="K291" s="3">
        <v>429787</v>
      </c>
      <c r="L291" s="9">
        <f t="shared" si="64"/>
        <v>0.50419000000000003</v>
      </c>
      <c r="M291" s="5">
        <f t="shared" si="65"/>
        <v>4.3477699999999997</v>
      </c>
      <c r="N291" s="5">
        <f t="shared" si="66"/>
        <v>4.2978699999999996</v>
      </c>
      <c r="O291" s="5">
        <f t="shared" si="67"/>
        <v>0.44010000000000549</v>
      </c>
      <c r="P291" s="4">
        <f t="shared" si="68"/>
        <v>6.8164200000001234</v>
      </c>
    </row>
    <row r="292" spans="1:16" x14ac:dyDescent="0.5">
      <c r="A292" t="s">
        <v>181</v>
      </c>
      <c r="B292" t="str">
        <f>_xlfn.CONCAT("BLK",C292,"xFRM",D292,"xARM",E292)</f>
        <v>BLK55xFRM80xARM50</v>
      </c>
      <c r="C292">
        <v>55</v>
      </c>
      <c r="D292">
        <v>80</v>
      </c>
      <c r="E292">
        <v>50</v>
      </c>
      <c r="F292" t="s">
        <v>175</v>
      </c>
      <c r="G292">
        <v>100000</v>
      </c>
      <c r="H292" s="3">
        <v>50214</v>
      </c>
      <c r="I292" s="3">
        <f>G292-H292</f>
        <v>49786</v>
      </c>
      <c r="J292" s="3">
        <v>432217</v>
      </c>
      <c r="K292" s="3">
        <v>430318</v>
      </c>
      <c r="L292" s="9">
        <f t="shared" si="64"/>
        <v>0.50214000000000003</v>
      </c>
      <c r="M292" s="5">
        <f t="shared" si="65"/>
        <v>4.3221699999999998</v>
      </c>
      <c r="N292" s="5">
        <f t="shared" si="66"/>
        <v>4.3031800000000002</v>
      </c>
      <c r="O292" s="5">
        <f t="shared" si="67"/>
        <v>0.10800000000000609</v>
      </c>
      <c r="P292" s="4">
        <f t="shared" si="68"/>
        <v>5.9562000000000275</v>
      </c>
    </row>
    <row r="293" spans="1:16" x14ac:dyDescent="0.5">
      <c r="A293" t="s">
        <v>181</v>
      </c>
      <c r="B293" t="str">
        <f t="shared" si="62"/>
        <v>BLK70xFRM40xARM50</v>
      </c>
      <c r="C293">
        <v>70</v>
      </c>
      <c r="D293">
        <v>40</v>
      </c>
      <c r="E293">
        <v>50</v>
      </c>
      <c r="F293" t="s">
        <v>175</v>
      </c>
      <c r="G293">
        <v>100000</v>
      </c>
      <c r="H293" s="3">
        <v>49151</v>
      </c>
      <c r="I293" s="3">
        <f t="shared" si="63"/>
        <v>50849</v>
      </c>
      <c r="J293" s="3">
        <v>436327</v>
      </c>
      <c r="K293" s="3">
        <v>445739</v>
      </c>
      <c r="L293" s="9">
        <f t="shared" si="64"/>
        <v>0.49151</v>
      </c>
      <c r="M293" s="5">
        <f t="shared" si="65"/>
        <v>4.36327</v>
      </c>
      <c r="N293" s="5">
        <f t="shared" si="66"/>
        <v>4.4573900000000002</v>
      </c>
      <c r="O293" s="5">
        <f t="shared" si="67"/>
        <v>-1.6140599999999985</v>
      </c>
      <c r="P293" s="4">
        <f t="shared" si="68"/>
        <v>-19.025819999999968</v>
      </c>
    </row>
    <row r="294" spans="1:16" x14ac:dyDescent="0.5">
      <c r="A294" t="s">
        <v>181</v>
      </c>
      <c r="B294" t="str">
        <f t="shared" si="62"/>
        <v>BLK70xFRM45xARM50</v>
      </c>
      <c r="C294">
        <v>70</v>
      </c>
      <c r="D294">
        <v>45</v>
      </c>
      <c r="E294">
        <v>50</v>
      </c>
      <c r="F294" t="s">
        <v>175</v>
      </c>
      <c r="G294">
        <v>100000</v>
      </c>
      <c r="H294" s="3">
        <v>49346</v>
      </c>
      <c r="I294" s="3">
        <f t="shared" si="63"/>
        <v>50654</v>
      </c>
      <c r="J294" s="3">
        <v>434111</v>
      </c>
      <c r="K294" s="3">
        <v>440824</v>
      </c>
      <c r="L294" s="9">
        <f t="shared" si="64"/>
        <v>0.49346000000000001</v>
      </c>
      <c r="M294" s="5">
        <f t="shared" si="65"/>
        <v>4.3411099999999996</v>
      </c>
      <c r="N294" s="5">
        <f t="shared" si="66"/>
        <v>4.4082400000000002</v>
      </c>
      <c r="O294" s="5">
        <f t="shared" si="67"/>
        <v>-1.2981599999999973</v>
      </c>
      <c r="P294" s="4">
        <f t="shared" si="68"/>
        <v>-11.063519999999961</v>
      </c>
    </row>
    <row r="295" spans="1:16" x14ac:dyDescent="0.5">
      <c r="A295" t="s">
        <v>181</v>
      </c>
      <c r="B295" t="str">
        <f t="shared" si="62"/>
        <v>BLK70xFRM50xARM50</v>
      </c>
      <c r="C295">
        <v>70</v>
      </c>
      <c r="D295">
        <v>50</v>
      </c>
      <c r="E295">
        <v>50</v>
      </c>
      <c r="F295" t="s">
        <v>175</v>
      </c>
      <c r="G295">
        <v>100000</v>
      </c>
      <c r="H295" s="3">
        <v>49913</v>
      </c>
      <c r="I295" s="3">
        <f t="shared" si="63"/>
        <v>50087</v>
      </c>
      <c r="J295" s="3">
        <v>433753</v>
      </c>
      <c r="K295" s="3">
        <v>435544</v>
      </c>
      <c r="L295" s="9">
        <f t="shared" si="64"/>
        <v>0.49913000000000002</v>
      </c>
      <c r="M295" s="5">
        <f t="shared" si="65"/>
        <v>4.3375300000000001</v>
      </c>
      <c r="N295" s="5">
        <f t="shared" si="66"/>
        <v>4.3554399999999998</v>
      </c>
      <c r="O295" s="5">
        <f t="shared" si="67"/>
        <v>-0.37961999999999596</v>
      </c>
      <c r="P295" s="4">
        <f t="shared" si="68"/>
        <v>-2.5099199999998962</v>
      </c>
    </row>
    <row r="296" spans="1:16" x14ac:dyDescent="0.5">
      <c r="A296" t="s">
        <v>181</v>
      </c>
      <c r="B296" t="str">
        <f t="shared" si="62"/>
        <v>BLK70xFRM55xARM50</v>
      </c>
      <c r="C296">
        <v>70</v>
      </c>
      <c r="D296">
        <v>55</v>
      </c>
      <c r="E296">
        <v>50</v>
      </c>
      <c r="F296" t="s">
        <v>175</v>
      </c>
      <c r="G296">
        <v>100000</v>
      </c>
      <c r="H296" s="3">
        <v>50079</v>
      </c>
      <c r="I296" s="3">
        <f t="shared" si="63"/>
        <v>49921</v>
      </c>
      <c r="J296" s="3">
        <v>433534</v>
      </c>
      <c r="K296" s="3">
        <v>434336</v>
      </c>
      <c r="L296" s="9">
        <f t="shared" si="64"/>
        <v>0.50078999999999996</v>
      </c>
      <c r="M296" s="5">
        <f t="shared" si="65"/>
        <v>4.3353400000000004</v>
      </c>
      <c r="N296" s="5">
        <f t="shared" si="66"/>
        <v>4.3433599999999997</v>
      </c>
      <c r="O296" s="5">
        <f t="shared" si="67"/>
        <v>-0.11070000000000579</v>
      </c>
      <c r="P296" s="4">
        <f t="shared" si="68"/>
        <v>-0.55295999999988155</v>
      </c>
    </row>
    <row r="297" spans="1:16" x14ac:dyDescent="0.5">
      <c r="A297" t="s">
        <v>181</v>
      </c>
      <c r="B297" t="str">
        <f t="shared" si="62"/>
        <v>BLK70xFRM60xARM50</v>
      </c>
      <c r="C297">
        <v>70</v>
      </c>
      <c r="D297">
        <v>60</v>
      </c>
      <c r="E297">
        <v>50</v>
      </c>
      <c r="F297" t="s">
        <v>175</v>
      </c>
      <c r="G297">
        <v>100000</v>
      </c>
      <c r="H297" s="3">
        <v>50363</v>
      </c>
      <c r="I297" s="3">
        <f t="shared" si="63"/>
        <v>49637</v>
      </c>
      <c r="J297" s="3">
        <v>433443</v>
      </c>
      <c r="K297" s="3">
        <v>430822</v>
      </c>
      <c r="L297" s="9">
        <f t="shared" si="64"/>
        <v>0.50363000000000002</v>
      </c>
      <c r="M297" s="5">
        <f t="shared" si="65"/>
        <v>4.3344300000000002</v>
      </c>
      <c r="N297" s="5">
        <f t="shared" si="66"/>
        <v>4.3082200000000004</v>
      </c>
      <c r="O297" s="5">
        <f t="shared" si="67"/>
        <v>0.34938000000000469</v>
      </c>
      <c r="P297" s="4">
        <f t="shared" si="68"/>
        <v>5.1397200000000023</v>
      </c>
    </row>
    <row r="298" spans="1:16" x14ac:dyDescent="0.5">
      <c r="A298" t="s">
        <v>181</v>
      </c>
      <c r="B298" t="str">
        <f t="shared" si="62"/>
        <v>BLK70xFRM65xARM50</v>
      </c>
      <c r="C298">
        <v>70</v>
      </c>
      <c r="D298">
        <v>65</v>
      </c>
      <c r="E298">
        <v>50</v>
      </c>
      <c r="F298" t="s">
        <v>175</v>
      </c>
      <c r="G298">
        <v>100000</v>
      </c>
      <c r="H298" s="3">
        <v>50404</v>
      </c>
      <c r="I298" s="3">
        <f t="shared" si="63"/>
        <v>49596</v>
      </c>
      <c r="J298" s="3">
        <v>433599</v>
      </c>
      <c r="K298" s="3">
        <v>427487</v>
      </c>
      <c r="L298" s="9">
        <f t="shared" si="64"/>
        <v>0.50404000000000004</v>
      </c>
      <c r="M298" s="5">
        <f t="shared" si="65"/>
        <v>4.3359899999999998</v>
      </c>
      <c r="N298" s="5">
        <f t="shared" si="66"/>
        <v>4.2748699999999999</v>
      </c>
      <c r="O298" s="5">
        <f t="shared" si="67"/>
        <v>0.41580000000000816</v>
      </c>
      <c r="P298" s="4">
        <f t="shared" si="68"/>
        <v>10.542420000000073</v>
      </c>
    </row>
    <row r="299" spans="1:16" x14ac:dyDescent="0.5">
      <c r="A299" t="s">
        <v>181</v>
      </c>
      <c r="B299" t="str">
        <f t="shared" si="62"/>
        <v>BLK70xFRM70xARM50</v>
      </c>
      <c r="C299">
        <v>70</v>
      </c>
      <c r="D299">
        <v>70</v>
      </c>
      <c r="E299">
        <v>50</v>
      </c>
      <c r="F299" t="s">
        <v>175</v>
      </c>
      <c r="G299">
        <v>100000</v>
      </c>
      <c r="H299" s="3">
        <v>50661</v>
      </c>
      <c r="I299" s="3">
        <f t="shared" si="63"/>
        <v>49339</v>
      </c>
      <c r="J299" s="3">
        <v>432775</v>
      </c>
      <c r="K299" s="3">
        <v>427253</v>
      </c>
      <c r="L299" s="9">
        <f t="shared" si="64"/>
        <v>0.50661</v>
      </c>
      <c r="M299" s="5">
        <f t="shared" si="65"/>
        <v>4.32775</v>
      </c>
      <c r="N299" s="5">
        <f t="shared" si="66"/>
        <v>4.2725299999999997</v>
      </c>
      <c r="O299" s="5">
        <f t="shared" si="67"/>
        <v>0.83214000000000188</v>
      </c>
      <c r="P299" s="4">
        <f t="shared" si="68"/>
        <v>10.92150000000011</v>
      </c>
    </row>
    <row r="300" spans="1:16" x14ac:dyDescent="0.5">
      <c r="A300" t="s">
        <v>181</v>
      </c>
      <c r="B300" t="str">
        <f t="shared" si="62"/>
        <v>BLK70xFRM75xARM50</v>
      </c>
      <c r="C300">
        <v>70</v>
      </c>
      <c r="D300">
        <v>75</v>
      </c>
      <c r="E300">
        <v>50</v>
      </c>
      <c r="F300" t="s">
        <v>175</v>
      </c>
      <c r="G300">
        <v>100000</v>
      </c>
      <c r="H300" s="3">
        <v>50616</v>
      </c>
      <c r="I300" s="3">
        <f t="shared" si="63"/>
        <v>49384</v>
      </c>
      <c r="J300" s="3">
        <v>435159</v>
      </c>
      <c r="K300" s="3">
        <v>428342</v>
      </c>
      <c r="L300" s="9">
        <f t="shared" si="64"/>
        <v>0.50616000000000005</v>
      </c>
      <c r="M300" s="5">
        <f t="shared" si="65"/>
        <v>4.3515899999999998</v>
      </c>
      <c r="N300" s="5">
        <f t="shared" si="66"/>
        <v>4.2834199999999996</v>
      </c>
      <c r="O300" s="5">
        <f t="shared" si="67"/>
        <v>0.75924000000000991</v>
      </c>
      <c r="P300" s="4">
        <f t="shared" si="68"/>
        <v>9.1573200000001354</v>
      </c>
    </row>
    <row r="301" spans="1:16" x14ac:dyDescent="0.5">
      <c r="A301" t="s">
        <v>181</v>
      </c>
      <c r="B301" t="str">
        <f t="shared" si="62"/>
        <v>BLK70xFRM80xARM50</v>
      </c>
      <c r="C301">
        <v>70</v>
      </c>
      <c r="D301">
        <v>80</v>
      </c>
      <c r="E301">
        <v>50</v>
      </c>
      <c r="F301" t="s">
        <v>175</v>
      </c>
      <c r="G301">
        <v>100000</v>
      </c>
      <c r="H301" s="3">
        <v>50661</v>
      </c>
      <c r="I301" s="3">
        <f t="shared" si="63"/>
        <v>49339</v>
      </c>
      <c r="J301" s="3">
        <v>434232</v>
      </c>
      <c r="K301" s="3">
        <v>427274</v>
      </c>
      <c r="L301" s="9">
        <f t="shared" si="64"/>
        <v>0.50661</v>
      </c>
      <c r="M301" s="5">
        <f t="shared" si="65"/>
        <v>4.34232</v>
      </c>
      <c r="N301" s="5">
        <f t="shared" si="66"/>
        <v>4.2727399999999998</v>
      </c>
      <c r="O301" s="5">
        <f t="shared" si="67"/>
        <v>0.83214000000000188</v>
      </c>
      <c r="P301" s="4">
        <f t="shared" si="68"/>
        <v>10.887480000000103</v>
      </c>
    </row>
    <row r="302" spans="1:16" x14ac:dyDescent="0.5">
      <c r="A302" t="s">
        <v>181</v>
      </c>
      <c r="B302" t="str">
        <f t="shared" si="62"/>
        <v>BLK70xFRM70xARM70</v>
      </c>
      <c r="C302">
        <v>70</v>
      </c>
      <c r="D302">
        <v>70</v>
      </c>
      <c r="E302">
        <v>70</v>
      </c>
      <c r="F302" t="s">
        <v>175</v>
      </c>
      <c r="G302">
        <v>100000</v>
      </c>
      <c r="H302" s="3">
        <v>50756</v>
      </c>
      <c r="I302" s="3">
        <f t="shared" si="63"/>
        <v>49244</v>
      </c>
      <c r="J302" s="3">
        <v>433218</v>
      </c>
      <c r="K302" s="3">
        <v>426525</v>
      </c>
      <c r="L302" s="9">
        <f t="shared" si="64"/>
        <v>0.50756000000000001</v>
      </c>
      <c r="M302" s="5">
        <f t="shared" si="65"/>
        <v>4.3321800000000001</v>
      </c>
      <c r="N302" s="5">
        <f t="shared" si="66"/>
        <v>4.26525</v>
      </c>
      <c r="O302" s="5">
        <f t="shared" si="67"/>
        <v>0.98604000000000291</v>
      </c>
      <c r="P302" s="4">
        <f t="shared" si="68"/>
        <v>12.100860000000067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A85CB-8F34-47E6-B4D4-EDC06CBD47C6}">
  <dimension ref="A1:J15"/>
  <sheetViews>
    <sheetView zoomScale="160" zoomScaleNormal="160" workbookViewId="0">
      <selection activeCell="C11" sqref="C11"/>
    </sheetView>
  </sheetViews>
  <sheetFormatPr defaultRowHeight="14.35" x14ac:dyDescent="0.5"/>
  <cols>
    <col min="1" max="1" width="12.5859375" bestFit="1" customWidth="1"/>
    <col min="2" max="2" width="7.29296875" bestFit="1" customWidth="1"/>
    <col min="3" max="8" width="7.703125" bestFit="1" customWidth="1"/>
    <col min="9" max="9" width="7.9375" bestFit="1" customWidth="1"/>
  </cols>
  <sheetData>
    <row r="1" spans="1:10" x14ac:dyDescent="0.5">
      <c r="C1" s="14" t="s">
        <v>38</v>
      </c>
      <c r="D1" s="14" t="s">
        <v>29</v>
      </c>
      <c r="E1" s="14" t="s">
        <v>30</v>
      </c>
      <c r="F1" s="14" t="s">
        <v>31</v>
      </c>
      <c r="G1" s="14" t="s">
        <v>32</v>
      </c>
      <c r="H1" s="14" t="s">
        <v>33</v>
      </c>
      <c r="I1" s="14" t="s">
        <v>62</v>
      </c>
      <c r="J1" s="14" t="s">
        <v>125</v>
      </c>
    </row>
    <row r="2" spans="1:10" x14ac:dyDescent="0.5">
      <c r="A2" t="s">
        <v>77</v>
      </c>
      <c r="C2" s="15">
        <f>IFERROR(_xlfn.XLOOKUP($B2,Hitters!$A$4:$A$70,Hitters!AS$4:AS$70),1)</f>
        <v>1</v>
      </c>
      <c r="D2" s="15">
        <f>IFERROR(_xlfn.XLOOKUP($B2,Hitters!$A$4:$A$70,Hitters!AT$4:AT$70),1)</f>
        <v>1</v>
      </c>
      <c r="E2" s="15">
        <f>IFERROR(_xlfn.XLOOKUP($B2,Hitters!$A$4:$A$70,Hitters!AU$4:AU$70),1)</f>
        <v>1</v>
      </c>
      <c r="F2" s="15">
        <f>IFERROR(_xlfn.XLOOKUP($B2,Hitters!$A$4:$A$70,Hitters!AV$4:AV$70),1)</f>
        <v>1</v>
      </c>
      <c r="G2" s="15">
        <f>IFERROR(_xlfn.XLOOKUP($B2,Hitters!$A$4:$A$70,Hitters!AW$4:AW$70),1)</f>
        <v>1</v>
      </c>
      <c r="H2" s="15">
        <f>IFERROR(_xlfn.XLOOKUP($B2,Hitters!$A$4:$A$70,Hitters!AX$4:AX$70),1)</f>
        <v>1</v>
      </c>
      <c r="I2" s="15">
        <f>IFERROR(_xlfn.XLOOKUP($B2,Hitters!$A$4:$A$70,Hitters!AY$4:AY$70),1)</f>
        <v>1</v>
      </c>
      <c r="J2" s="15">
        <v>0</v>
      </c>
    </row>
    <row r="3" spans="1:10" x14ac:dyDescent="0.5">
      <c r="A3" t="s">
        <v>23</v>
      </c>
      <c r="C3" s="15">
        <f>IFERROR(_xlfn.XLOOKUP($B3,Hitters!$A$4:$A$70,Hitters!AS$4:AS$70),1)</f>
        <v>1</v>
      </c>
      <c r="D3" s="15">
        <f>IFERROR(_xlfn.XLOOKUP($B3,Hitters!$A$4:$A$70,Hitters!AT$4:AT$70),1)</f>
        <v>1</v>
      </c>
      <c r="E3" s="15">
        <f>IFERROR(_xlfn.XLOOKUP($B3,Hitters!$A$4:$A$70,Hitters!AU$4:AU$70),1)</f>
        <v>1</v>
      </c>
      <c r="F3" s="15">
        <f>IFERROR(_xlfn.XLOOKUP($B3,Hitters!$A$4:$A$70,Hitters!AV$4:AV$70),1)</f>
        <v>1</v>
      </c>
      <c r="G3" s="15">
        <f>IFERROR(_xlfn.XLOOKUP($B3,Hitters!$A$4:$A$70,Hitters!AW$4:AW$70),1)</f>
        <v>1</v>
      </c>
      <c r="H3" s="15">
        <f>IFERROR(_xlfn.XLOOKUP($B3,Hitters!$A$4:$A$70,Hitters!AX$4:AX$70),1)</f>
        <v>1</v>
      </c>
      <c r="I3" s="15">
        <f>IFERROR(_xlfn.XLOOKUP($B3,Hitters!$A$4:$A$70,Hitters!AY$4:AY$70),1)</f>
        <v>1</v>
      </c>
      <c r="J3" s="15">
        <v>0</v>
      </c>
    </row>
    <row r="4" spans="1:10" x14ac:dyDescent="0.5">
      <c r="A4" t="s">
        <v>78</v>
      </c>
      <c r="C4" s="15">
        <f>IFERROR(_xlfn.XLOOKUP($B4,Hitters!$A$4:$A$70,Hitters!AS$4:AS$70),1)</f>
        <v>1</v>
      </c>
      <c r="D4" s="15">
        <f>IFERROR(_xlfn.XLOOKUP($B4,Hitters!$A$4:$A$70,Hitters!AT$4:AT$70),1)</f>
        <v>1</v>
      </c>
      <c r="E4" s="15">
        <f>IFERROR(_xlfn.XLOOKUP($B4,Hitters!$A$4:$A$70,Hitters!AU$4:AU$70),1)</f>
        <v>1</v>
      </c>
      <c r="F4" s="15">
        <f>IFERROR(_xlfn.XLOOKUP($B4,Hitters!$A$4:$A$70,Hitters!AV$4:AV$70),1)</f>
        <v>1</v>
      </c>
      <c r="G4" s="15">
        <f>IFERROR(_xlfn.XLOOKUP($B4,Hitters!$A$4:$A$70,Hitters!AW$4:AW$70),1)</f>
        <v>1</v>
      </c>
      <c r="H4" s="15">
        <f>IFERROR(_xlfn.XLOOKUP($B4,Hitters!$A$4:$A$70,Hitters!AX$4:AX$70),1)</f>
        <v>1</v>
      </c>
      <c r="I4" s="15">
        <f>IFERROR(_xlfn.XLOOKUP($B4,Hitters!$A$4:$A$70,Hitters!AY$4:AY$70),1)</f>
        <v>1</v>
      </c>
      <c r="J4" s="15">
        <v>0</v>
      </c>
    </row>
    <row r="5" spans="1:10" x14ac:dyDescent="0.5">
      <c r="A5" t="s">
        <v>79</v>
      </c>
      <c r="C5" s="15">
        <f>IFERROR(_xlfn.XLOOKUP($B5,Hitters!$A$4:$A$70,Hitters!AS$4:AS$70),1)</f>
        <v>1</v>
      </c>
      <c r="D5" s="15">
        <f>IFERROR(_xlfn.XLOOKUP($B5,Hitters!$A$4:$A$70,Hitters!AT$4:AT$70),1)</f>
        <v>1</v>
      </c>
      <c r="E5" s="15">
        <f>IFERROR(_xlfn.XLOOKUP($B5,Hitters!$A$4:$A$70,Hitters!AU$4:AU$70),1)</f>
        <v>1</v>
      </c>
      <c r="F5" s="15">
        <f>IFERROR(_xlfn.XLOOKUP($B5,Hitters!$A$4:$A$70,Hitters!AV$4:AV$70),1)</f>
        <v>1</v>
      </c>
      <c r="G5" s="15">
        <f>IFERROR(_xlfn.XLOOKUP($B5,Hitters!$A$4:$A$70,Hitters!AW$4:AW$70),1)</f>
        <v>1</v>
      </c>
      <c r="H5" s="15">
        <f>IFERROR(_xlfn.XLOOKUP($B5,Hitters!$A$4:$A$70,Hitters!AX$4:AX$70),1)</f>
        <v>1</v>
      </c>
      <c r="I5" s="15">
        <f>IFERROR(_xlfn.XLOOKUP($B5,Hitters!$A$4:$A$70,Hitters!AY$4:AY$70),1)</f>
        <v>1</v>
      </c>
      <c r="J5" s="15">
        <v>0</v>
      </c>
    </row>
    <row r="6" spans="1:10" x14ac:dyDescent="0.5">
      <c r="A6" t="s">
        <v>80</v>
      </c>
      <c r="C6" s="15">
        <f>IFERROR(_xlfn.XLOOKUP($B6,Hitters!$A$4:$A$70,Hitters!AS$4:AS$70),1)</f>
        <v>1</v>
      </c>
      <c r="D6" s="15">
        <f>IFERROR(_xlfn.XLOOKUP($B6,Hitters!$A$4:$A$70,Hitters!AT$4:AT$70),1)</f>
        <v>1</v>
      </c>
      <c r="E6" s="15">
        <f>IFERROR(_xlfn.XLOOKUP($B6,Hitters!$A$4:$A$70,Hitters!AU$4:AU$70),1)</f>
        <v>1</v>
      </c>
      <c r="F6" s="15">
        <f>IFERROR(_xlfn.XLOOKUP($B6,Hitters!$A$4:$A$70,Hitters!AV$4:AV$70),1)</f>
        <v>1</v>
      </c>
      <c r="G6" s="15">
        <f>IFERROR(_xlfn.XLOOKUP($B6,Hitters!$A$4:$A$70,Hitters!AW$4:AW$70),1)</f>
        <v>1</v>
      </c>
      <c r="H6" s="15">
        <f>IFERROR(_xlfn.XLOOKUP($B6,Hitters!$A$4:$A$70,Hitters!AX$4:AX$70),1)</f>
        <v>1</v>
      </c>
      <c r="I6" s="15">
        <f>IFERROR(_xlfn.XLOOKUP($B6,Hitters!$A$4:$A$70,Hitters!AY$4:AY$70),1)</f>
        <v>1</v>
      </c>
      <c r="J6" s="15">
        <v>0</v>
      </c>
    </row>
    <row r="7" spans="1:10" x14ac:dyDescent="0.5">
      <c r="A7" t="s">
        <v>81</v>
      </c>
      <c r="C7" s="15">
        <f>Hitters!AI$7*PRODUCT(C2:C6)</f>
        <v>0.15724410456805052</v>
      </c>
      <c r="D7" s="15">
        <f>Hitters!AJ$7*PRODUCT(D2:D6)</f>
        <v>4.8122089993280465E-2</v>
      </c>
      <c r="E7" s="15">
        <f>Hitters!AK$7*PRODUCT(E2:E6)</f>
        <v>3.7989159570318456E-3</v>
      </c>
      <c r="F7" s="15">
        <f>Hitters!AL$7*PRODUCT(F2:F6)</f>
        <v>2.6301986532697857E-2</v>
      </c>
      <c r="G7" s="15">
        <f>Hitters!AM$7*PRODUCT(G2:G6)</f>
        <v>7.3762937346933524E-2</v>
      </c>
      <c r="H7" s="15">
        <f>Hitters!AN$7*PRODUCT(H2:H6)</f>
        <v>0.21167767865154372</v>
      </c>
      <c r="I7" s="15">
        <f>Hitters!AO$7*PRODUCT(I2:I6)</f>
        <v>0.459092286950462</v>
      </c>
      <c r="J7" s="15">
        <v>0.02</v>
      </c>
    </row>
    <row r="8" spans="1:10" x14ac:dyDescent="0.5">
      <c r="A8" t="s">
        <v>124</v>
      </c>
      <c r="C8" s="15">
        <f>C7/SUM($C$7:$I$7)*0.98</f>
        <v>0.15724410456805052</v>
      </c>
      <c r="D8" s="15">
        <f t="shared" ref="D8:I8" si="0">D7/SUM($C$7:$I$7)*0.98</f>
        <v>4.8122089993280465E-2</v>
      </c>
      <c r="E8" s="15">
        <f t="shared" si="0"/>
        <v>3.7989159570318456E-3</v>
      </c>
      <c r="F8" s="15">
        <f t="shared" si="0"/>
        <v>2.6301986532697857E-2</v>
      </c>
      <c r="G8" s="15">
        <f t="shared" si="0"/>
        <v>7.3762937346933524E-2</v>
      </c>
      <c r="H8" s="15">
        <f t="shared" si="0"/>
        <v>0.21167767865154372</v>
      </c>
      <c r="I8" s="15">
        <f t="shared" si="0"/>
        <v>0.459092286950462</v>
      </c>
      <c r="J8" s="15">
        <v>0.02</v>
      </c>
    </row>
    <row r="9" spans="1:10" x14ac:dyDescent="0.5">
      <c r="C9" s="15"/>
      <c r="D9" s="15"/>
      <c r="E9" s="15"/>
      <c r="F9" s="15"/>
      <c r="G9" s="15"/>
      <c r="H9" s="15"/>
      <c r="I9" s="15"/>
      <c r="J9" s="15"/>
    </row>
    <row r="11" spans="1:10" x14ac:dyDescent="0.5">
      <c r="A11" t="s">
        <v>123</v>
      </c>
      <c r="C11" s="6">
        <f>SUMPRODUCT(C7:H7,Hitters!AI1:AN1)</f>
        <v>0.3115155832244359</v>
      </c>
    </row>
    <row r="12" spans="1:10" x14ac:dyDescent="0.5">
      <c r="A12" t="s">
        <v>122</v>
      </c>
      <c r="C12" s="5">
        <f>B14+(B15*C11)</f>
        <v>-8.616585646886854E-2</v>
      </c>
    </row>
    <row r="14" spans="1:10" x14ac:dyDescent="0.5">
      <c r="A14" t="s">
        <v>109</v>
      </c>
      <c r="B14" s="4">
        <v>-14.028069616310766</v>
      </c>
    </row>
    <row r="15" spans="1:10" x14ac:dyDescent="0.5">
      <c r="A15" t="s">
        <v>111</v>
      </c>
      <c r="B15" s="4">
        <v>44.755076505425578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BC866-9A3D-4ECF-9D06-9B1EC701B7F5}">
  <dimension ref="A1:BH114"/>
  <sheetViews>
    <sheetView topLeftCell="A30" zoomScale="70" zoomScaleNormal="70" workbookViewId="0">
      <selection activeCell="U92" sqref="U92"/>
    </sheetView>
  </sheetViews>
  <sheetFormatPr defaultRowHeight="14.35" x14ac:dyDescent="0.5"/>
  <cols>
    <col min="1" max="1" width="15.64453125" bestFit="1" customWidth="1"/>
    <col min="2" max="2" width="3.76171875" bestFit="1" customWidth="1"/>
    <col min="3" max="3" width="5.52734375" bestFit="1" customWidth="1"/>
    <col min="4" max="4" width="4.05859375" bestFit="1" customWidth="1"/>
    <col min="5" max="5" width="5.8203125" bestFit="1" customWidth="1"/>
    <col min="6" max="6" width="3.5859375" bestFit="1" customWidth="1"/>
    <col min="7" max="7" width="5.8203125" bestFit="1" customWidth="1"/>
    <col min="8" max="8" width="7.1171875" bestFit="1" customWidth="1"/>
    <col min="9" max="9" width="6.1171875" bestFit="1" customWidth="1"/>
    <col min="10" max="10" width="12.29296875" bestFit="1" customWidth="1"/>
    <col min="11" max="11" width="10.64453125" bestFit="1" customWidth="1"/>
    <col min="12" max="12" width="11.41015625" bestFit="1" customWidth="1"/>
    <col min="13" max="13" width="7.1171875" bestFit="1" customWidth="1"/>
    <col min="14" max="14" width="6.1171875" bestFit="1" customWidth="1"/>
    <col min="15" max="15" width="7.1171875" bestFit="1" customWidth="1"/>
    <col min="16" max="16" width="6.1171875" bestFit="1" customWidth="1"/>
    <col min="17" max="17" width="5.05859375" bestFit="1" customWidth="1"/>
    <col min="18" max="19" width="6.1171875" bestFit="1" customWidth="1"/>
    <col min="20" max="20" width="7.1171875" bestFit="1" customWidth="1"/>
    <col min="21" max="21" width="6.1171875" bestFit="1" customWidth="1"/>
    <col min="22" max="22" width="7.1171875" bestFit="1" customWidth="1"/>
    <col min="23" max="24" width="5.05859375" bestFit="1" customWidth="1"/>
    <col min="25" max="28" width="6.1171875" bestFit="1" customWidth="1"/>
    <col min="29" max="29" width="7" bestFit="1" customWidth="1"/>
    <col min="30" max="30" width="6.41015625" bestFit="1" customWidth="1"/>
    <col min="31" max="31" width="11.52734375" bestFit="1" customWidth="1"/>
    <col min="32" max="32" width="12.29296875" bestFit="1" customWidth="1"/>
    <col min="33" max="33" width="9.64453125" bestFit="1" customWidth="1"/>
    <col min="34" max="34" width="12.29296875" bestFit="1" customWidth="1"/>
    <col min="35" max="38" width="6.703125" bestFit="1" customWidth="1"/>
    <col min="39" max="39" width="7" bestFit="1" customWidth="1"/>
    <col min="40" max="40" width="6.703125" bestFit="1" customWidth="1"/>
    <col min="41" max="41" width="8.17578125" bestFit="1" customWidth="1"/>
    <col min="42" max="42" width="6.703125" bestFit="1" customWidth="1"/>
    <col min="43" max="43" width="12" bestFit="1" customWidth="1"/>
    <col min="44" max="44" width="6.703125" bestFit="1" customWidth="1"/>
    <col min="45" max="50" width="7" bestFit="1" customWidth="1"/>
    <col min="51" max="51" width="8.17578125" bestFit="1" customWidth="1"/>
    <col min="53" max="53" width="12.29296875" bestFit="1" customWidth="1"/>
    <col min="54" max="55" width="12.87890625" bestFit="1" customWidth="1"/>
    <col min="56" max="56" width="2" bestFit="1" customWidth="1"/>
    <col min="57" max="60" width="12.87890625" bestFit="1" customWidth="1"/>
  </cols>
  <sheetData>
    <row r="1" spans="1:60" x14ac:dyDescent="0.5">
      <c r="AH1" t="s">
        <v>37</v>
      </c>
      <c r="AI1" s="8">
        <v>0.9</v>
      </c>
      <c r="AJ1" s="8">
        <v>1.24</v>
      </c>
      <c r="AK1" s="8">
        <v>1.56</v>
      </c>
      <c r="AL1" s="8">
        <v>1.95</v>
      </c>
      <c r="AM1" s="8">
        <v>0.72</v>
      </c>
    </row>
    <row r="2" spans="1:60" x14ac:dyDescent="0.5">
      <c r="AC2" t="s">
        <v>48</v>
      </c>
      <c r="AD2" t="s">
        <v>48</v>
      </c>
      <c r="AE2" t="s">
        <v>48</v>
      </c>
      <c r="AF2" t="s">
        <v>48</v>
      </c>
      <c r="AG2" t="s">
        <v>49</v>
      </c>
      <c r="AH2" s="1" t="s">
        <v>28</v>
      </c>
      <c r="AS2" s="31" t="s">
        <v>71</v>
      </c>
      <c r="AT2" s="31"/>
      <c r="AU2" s="31"/>
      <c r="AV2" s="31"/>
      <c r="AW2" s="31"/>
      <c r="AX2" s="31"/>
      <c r="AY2" s="31"/>
      <c r="BB2">
        <f>STANDARDIZE(BB3,AVERAGE($BB$3:$BC$3,$BE$3:$BH$3),_xlfn.STDEV.P($BB$3:$BC$3,$BE$3:$BH$3))</f>
        <v>-2.4373263692899012E-2</v>
      </c>
      <c r="BC2">
        <f t="shared" ref="BC2" si="0">STANDARDIZE(BC3,AVERAGE($BB$3:$BC$3,$BE$3:$BH$3),_xlfn.STDEV.P($BB$3:$BC$3,$BE$3:$BH$3))</f>
        <v>-0.25880708072674585</v>
      </c>
      <c r="BE2">
        <f t="shared" ref="BE2" si="1">STANDARDIZE(BE3,AVERAGE($BB$3:$BC$3,$BE$3:$BH$3),_xlfn.STDEV.P($BB$3:$BC$3,$BE$3:$BH$3))</f>
        <v>2.074317963988781</v>
      </c>
      <c r="BF2">
        <f t="shared" ref="BF2" si="2">STANDARDIZE(BF3,AVERAGE($BB$3:$BC$3,$BE$3:$BH$3),_xlfn.STDEV.P($BB$3:$BC$3,$BE$3:$BH$3))</f>
        <v>9.5199580571221371E-3</v>
      </c>
      <c r="BG2">
        <f t="shared" ref="BG2" si="3">STANDARDIZE(BG3,AVERAGE($BB$3:$BC$3,$BE$3:$BH$3),_xlfn.STDEV.P($BB$3:$BC$3,$BE$3:$BH$3))</f>
        <v>-0.96496367770183145</v>
      </c>
      <c r="BH2">
        <f t="shared" ref="BH2" si="4">STANDARDIZE(BH3,AVERAGE($BB$3:$BC$3,$BE$3:$BH$3),_xlfn.STDEV.P($BB$3:$BC$3,$BE$3:$BH$3))</f>
        <v>-0.83569389992442911</v>
      </c>
    </row>
    <row r="3" spans="1:60" ht="14.7" thickBot="1" x14ac:dyDescent="0.55000000000000004">
      <c r="A3" t="s">
        <v>0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184</v>
      </c>
      <c r="H3" t="s">
        <v>1</v>
      </c>
      <c r="I3" t="s">
        <v>40</v>
      </c>
      <c r="J3" t="s">
        <v>41</v>
      </c>
      <c r="K3" t="s">
        <v>42</v>
      </c>
      <c r="L3" t="s">
        <v>43</v>
      </c>
      <c r="M3" t="s">
        <v>2</v>
      </c>
      <c r="N3" t="s">
        <v>3</v>
      </c>
      <c r="O3" t="s">
        <v>4</v>
      </c>
      <c r="P3" t="s">
        <v>5</v>
      </c>
      <c r="Q3" t="s">
        <v>6</v>
      </c>
      <c r="R3" t="s">
        <v>7</v>
      </c>
      <c r="S3" t="s">
        <v>8</v>
      </c>
      <c r="T3" t="s">
        <v>9</v>
      </c>
      <c r="U3" t="s">
        <v>10</v>
      </c>
      <c r="V3" t="s">
        <v>11</v>
      </c>
      <c r="W3" t="s">
        <v>12</v>
      </c>
      <c r="X3" t="s">
        <v>13</v>
      </c>
      <c r="Y3" t="s">
        <v>14</v>
      </c>
      <c r="Z3" t="s">
        <v>15</v>
      </c>
      <c r="AA3" t="s">
        <v>16</v>
      </c>
      <c r="AB3" t="s">
        <v>17</v>
      </c>
      <c r="AC3" t="s">
        <v>44</v>
      </c>
      <c r="AD3" t="s">
        <v>45</v>
      </c>
      <c r="AE3" t="s">
        <v>46</v>
      </c>
      <c r="AF3" t="s">
        <v>47</v>
      </c>
      <c r="AG3" t="s">
        <v>126</v>
      </c>
      <c r="AH3" t="s">
        <v>27</v>
      </c>
      <c r="AI3" t="s">
        <v>38</v>
      </c>
      <c r="AJ3" t="s">
        <v>29</v>
      </c>
      <c r="AK3" t="s">
        <v>30</v>
      </c>
      <c r="AL3" t="s">
        <v>31</v>
      </c>
      <c r="AM3" t="s">
        <v>32</v>
      </c>
      <c r="AN3" t="s">
        <v>33</v>
      </c>
      <c r="AO3" t="s">
        <v>62</v>
      </c>
      <c r="AP3" t="s">
        <v>177</v>
      </c>
      <c r="AQ3" t="s">
        <v>176</v>
      </c>
      <c r="AR3" t="s">
        <v>39</v>
      </c>
      <c r="AS3" t="s">
        <v>38</v>
      </c>
      <c r="AT3" t="s">
        <v>29</v>
      </c>
      <c r="AU3" t="s">
        <v>30</v>
      </c>
      <c r="AV3" t="s">
        <v>31</v>
      </c>
      <c r="AW3" t="s">
        <v>32</v>
      </c>
      <c r="AX3" t="s">
        <v>33</v>
      </c>
      <c r="AY3" t="s">
        <v>62</v>
      </c>
      <c r="BA3">
        <v>3137.4904977230458</v>
      </c>
      <c r="BB3">
        <v>-3014.1466165789734</v>
      </c>
      <c r="BC3">
        <v>-3103.0405565806086</v>
      </c>
      <c r="BD3">
        <v>0</v>
      </c>
      <c r="BE3">
        <v>-2218.3530129259721</v>
      </c>
      <c r="BF3">
        <v>-3001.2947931567855</v>
      </c>
      <c r="BG3">
        <v>-3370.8050069380379</v>
      </c>
      <c r="BH3" s="17">
        <v>-3321.7877618359371</v>
      </c>
    </row>
    <row r="4" spans="1:60" ht="14.7" thickBot="1" x14ac:dyDescent="0.55000000000000004">
      <c r="A4" t="s">
        <v>18</v>
      </c>
      <c r="B4">
        <v>50</v>
      </c>
      <c r="C4">
        <v>50</v>
      </c>
      <c r="D4">
        <v>50</v>
      </c>
      <c r="E4">
        <v>50</v>
      </c>
      <c r="F4">
        <v>50</v>
      </c>
      <c r="G4">
        <v>50</v>
      </c>
      <c r="H4">
        <v>100000</v>
      </c>
      <c r="I4">
        <v>50143</v>
      </c>
      <c r="J4">
        <f>H4-I4</f>
        <v>49857</v>
      </c>
      <c r="K4">
        <v>437889</v>
      </c>
      <c r="L4">
        <v>435152</v>
      </c>
      <c r="M4">
        <v>414165</v>
      </c>
      <c r="N4">
        <v>53378</v>
      </c>
      <c r="O4">
        <v>107676</v>
      </c>
      <c r="P4">
        <v>22094</v>
      </c>
      <c r="Q4">
        <v>1717</v>
      </c>
      <c r="R4">
        <v>11972</v>
      </c>
      <c r="S4">
        <v>44590</v>
      </c>
      <c r="T4">
        <v>169120</v>
      </c>
      <c r="U4">
        <v>33743</v>
      </c>
      <c r="V4">
        <v>96472</v>
      </c>
      <c r="W4">
        <v>3267</v>
      </c>
      <c r="X4">
        <v>2630</v>
      </c>
      <c r="Y4" s="6">
        <v>0.26</v>
      </c>
      <c r="Z4" s="6">
        <v>0.316</v>
      </c>
      <c r="AA4" s="6">
        <v>0.40799999999999997</v>
      </c>
      <c r="AB4" s="6">
        <v>0.72499999999999998</v>
      </c>
      <c r="AC4" s="9">
        <f>I4/H4</f>
        <v>0.50143000000000004</v>
      </c>
      <c r="AD4" s="6">
        <f>K4/H4</f>
        <v>4.3788900000000002</v>
      </c>
      <c r="AE4" s="6" t="s">
        <v>50</v>
      </c>
      <c r="AF4" s="6" t="s">
        <v>50</v>
      </c>
      <c r="AG4" s="6">
        <f>L4/H4</f>
        <v>4.3515199999999998</v>
      </c>
      <c r="AH4">
        <f>ROUND((M4+U4)*1.02,0)</f>
        <v>456866</v>
      </c>
      <c r="AI4" s="2">
        <f>(O4-SUM(P4:R4))/$AH4</f>
        <v>0.157361239400612</v>
      </c>
      <c r="AJ4" s="9">
        <f t="shared" ref="AJ4:AJ8" si="5">P4/$AH4</f>
        <v>4.8359912972293848E-2</v>
      </c>
      <c r="AK4" s="9">
        <f t="shared" ref="AK4:AK8" si="6">Q4/$AH4</f>
        <v>3.758213568092176E-3</v>
      </c>
      <c r="AL4" s="9">
        <f t="shared" ref="AL4:AL8" si="7">R4/$AH4</f>
        <v>2.620462017309233E-2</v>
      </c>
      <c r="AM4" s="9">
        <f t="shared" ref="AM4:AM8" si="8">U4/$AH4</f>
        <v>7.3857542474160917E-2</v>
      </c>
      <c r="AN4" s="2">
        <f t="shared" ref="AN4:AN8" si="9">V4/$AH4</f>
        <v>0.21116038400756459</v>
      </c>
      <c r="AO4" s="7">
        <f>1-SUM(AI4:AN4)-0.02</f>
        <v>0.4592980874041841</v>
      </c>
      <c r="AP4" s="7"/>
      <c r="AQ4" s="7"/>
      <c r="AR4" s="6">
        <f>SUMPRODUCT($AI$1:$AN$1,AI4:AN4)</f>
        <v>0.31173066063134491</v>
      </c>
      <c r="AS4" s="13"/>
      <c r="AT4" s="13"/>
      <c r="AU4" s="13"/>
      <c r="AV4" s="13"/>
      <c r="AW4" s="13"/>
      <c r="AX4" s="13"/>
      <c r="AY4" s="13"/>
      <c r="AZ4" s="6"/>
      <c r="BA4">
        <v>0.27013525729059346</v>
      </c>
      <c r="BB4" s="17">
        <v>9.7061318790747086E-2</v>
      </c>
    </row>
    <row r="5" spans="1:60" x14ac:dyDescent="0.5">
      <c r="A5" t="s">
        <v>19</v>
      </c>
      <c r="B5">
        <v>50</v>
      </c>
      <c r="C5">
        <v>50</v>
      </c>
      <c r="D5">
        <v>50</v>
      </c>
      <c r="E5">
        <v>50</v>
      </c>
      <c r="F5">
        <v>50</v>
      </c>
      <c r="G5">
        <v>50</v>
      </c>
      <c r="H5">
        <v>100000</v>
      </c>
      <c r="I5">
        <v>49981</v>
      </c>
      <c r="J5">
        <f t="shared" ref="J5:J68" si="10">H5-I5</f>
        <v>50019</v>
      </c>
      <c r="K5">
        <v>437442</v>
      </c>
      <c r="L5">
        <v>436120</v>
      </c>
      <c r="M5">
        <v>414391</v>
      </c>
      <c r="N5">
        <v>52857</v>
      </c>
      <c r="O5">
        <v>107503</v>
      </c>
      <c r="P5">
        <v>21721</v>
      </c>
      <c r="Q5">
        <v>1753</v>
      </c>
      <c r="R5">
        <v>12048</v>
      </c>
      <c r="S5">
        <v>44566</v>
      </c>
      <c r="T5">
        <v>168874</v>
      </c>
      <c r="U5">
        <v>33526</v>
      </c>
      <c r="V5">
        <v>96560</v>
      </c>
      <c r="W5">
        <v>3281</v>
      </c>
      <c r="X5">
        <v>2746</v>
      </c>
      <c r="Y5" s="6">
        <v>0.25900000000000001</v>
      </c>
      <c r="Z5" s="6">
        <v>0.316</v>
      </c>
      <c r="AA5" s="6">
        <v>0.40799999999999997</v>
      </c>
      <c r="AB5" s="6">
        <v>0.72299999999999998</v>
      </c>
      <c r="AC5" s="9">
        <f t="shared" ref="AC5:AC53" si="11">I5/H5</f>
        <v>0.49980999999999998</v>
      </c>
      <c r="AD5" s="6">
        <f t="shared" ref="AD5:AD53" si="12">K5/H5</f>
        <v>4.3744199999999998</v>
      </c>
      <c r="AE5" s="6" t="s">
        <v>50</v>
      </c>
      <c r="AF5" s="6" t="s">
        <v>50</v>
      </c>
      <c r="AG5" s="6">
        <f t="shared" ref="AG5:AG53" si="13">L5/H5</f>
        <v>4.3612000000000002</v>
      </c>
      <c r="AH5">
        <f t="shared" ref="AH5:AH53" si="14">ROUND((M5+U5)*1.02,0)</f>
        <v>456875</v>
      </c>
      <c r="AI5" s="2">
        <f>(O5-SUM(P5:R5))/$AH5</f>
        <v>0.15755075239398084</v>
      </c>
      <c r="AJ5" s="9">
        <f t="shared" si="5"/>
        <v>4.7542544459644322E-2</v>
      </c>
      <c r="AK5" s="9">
        <f t="shared" si="6"/>
        <v>3.836935704514364E-3</v>
      </c>
      <c r="AL5" s="9">
        <f t="shared" si="7"/>
        <v>2.6370451436388508E-2</v>
      </c>
      <c r="AM5" s="9">
        <f t="shared" si="8"/>
        <v>7.3381121751025985E-2</v>
      </c>
      <c r="AN5" s="2">
        <f t="shared" si="9"/>
        <v>0.21134883720930234</v>
      </c>
      <c r="AO5" s="7">
        <f t="shared" ref="AO5:AO53" si="15">1-SUM(AI5:AN5)-0.02</f>
        <v>0.45996935704514363</v>
      </c>
      <c r="AP5" s="7"/>
      <c r="AQ5" s="7"/>
      <c r="AR5" s="6">
        <f t="shared" ref="AR5:AR53" si="16">SUMPRODUCT($AI$1:$AN$1,AI5:AN5)</f>
        <v>0.31099083994528043</v>
      </c>
      <c r="AS5" s="13"/>
      <c r="AT5" s="13"/>
      <c r="AU5" s="13"/>
      <c r="AV5" s="13"/>
      <c r="AW5" s="13"/>
      <c r="AX5" s="13"/>
      <c r="AY5" s="13"/>
    </row>
    <row r="6" spans="1:60" x14ac:dyDescent="0.5">
      <c r="A6" t="s">
        <v>20</v>
      </c>
      <c r="B6">
        <v>50</v>
      </c>
      <c r="C6">
        <v>50</v>
      </c>
      <c r="D6">
        <v>50</v>
      </c>
      <c r="E6">
        <v>50</v>
      </c>
      <c r="F6">
        <v>50</v>
      </c>
      <c r="G6">
        <v>50</v>
      </c>
      <c r="H6">
        <v>100000</v>
      </c>
      <c r="I6">
        <v>50064</v>
      </c>
      <c r="J6">
        <f t="shared" si="10"/>
        <v>49936</v>
      </c>
      <c r="K6">
        <v>437105</v>
      </c>
      <c r="L6">
        <v>436245</v>
      </c>
      <c r="M6">
        <v>413881</v>
      </c>
      <c r="N6">
        <v>53300</v>
      </c>
      <c r="O6">
        <v>107503</v>
      </c>
      <c r="P6">
        <v>22131</v>
      </c>
      <c r="Q6">
        <v>1736</v>
      </c>
      <c r="R6">
        <v>12024</v>
      </c>
      <c r="S6">
        <v>44747</v>
      </c>
      <c r="T6">
        <v>169178</v>
      </c>
      <c r="U6">
        <v>33815</v>
      </c>
      <c r="V6">
        <v>97049</v>
      </c>
      <c r="W6">
        <v>3221</v>
      </c>
      <c r="X6">
        <v>2613</v>
      </c>
      <c r="Y6" s="6">
        <v>0.26</v>
      </c>
      <c r="Z6" s="6">
        <v>0.316</v>
      </c>
      <c r="AA6" s="6">
        <v>0.40899999999999997</v>
      </c>
      <c r="AB6" s="6">
        <v>0.72499999999999998</v>
      </c>
      <c r="AC6" s="9">
        <f t="shared" si="11"/>
        <v>0.50063999999999997</v>
      </c>
      <c r="AD6" s="6">
        <f t="shared" si="12"/>
        <v>4.3710500000000003</v>
      </c>
      <c r="AE6" s="6" t="s">
        <v>50</v>
      </c>
      <c r="AF6" s="6" t="s">
        <v>50</v>
      </c>
      <c r="AG6" s="6">
        <f t="shared" si="13"/>
        <v>4.3624499999999999</v>
      </c>
      <c r="AH6">
        <f t="shared" si="14"/>
        <v>456650</v>
      </c>
      <c r="AI6" s="2">
        <f>(O6-SUM(P6:R6))/$AH6</f>
        <v>0.15682032190955875</v>
      </c>
      <c r="AJ6" s="9">
        <f t="shared" si="5"/>
        <v>4.8463812547903211E-2</v>
      </c>
      <c r="AK6" s="9">
        <f t="shared" si="6"/>
        <v>3.801598598488996E-3</v>
      </c>
      <c r="AL6" s="9">
        <f t="shared" si="7"/>
        <v>2.6330887988612724E-2</v>
      </c>
      <c r="AM6" s="9">
        <f t="shared" si="8"/>
        <v>7.4050147815613712E-2</v>
      </c>
      <c r="AN6" s="2">
        <f t="shared" si="9"/>
        <v>0.21252381473776416</v>
      </c>
      <c r="AO6" s="7">
        <f t="shared" si="15"/>
        <v>0.4580094164020585</v>
      </c>
      <c r="AP6" s="7"/>
      <c r="AQ6" s="7"/>
      <c r="AR6" s="6">
        <f t="shared" si="16"/>
        <v>0.31182524909668241</v>
      </c>
      <c r="AS6" s="13"/>
      <c r="AT6" s="13"/>
      <c r="AU6" s="13"/>
      <c r="AV6" s="13"/>
      <c r="AW6" s="13"/>
      <c r="AX6" s="13"/>
      <c r="AY6" s="13"/>
    </row>
    <row r="7" spans="1:60" x14ac:dyDescent="0.5">
      <c r="A7" s="24" t="s">
        <v>34</v>
      </c>
      <c r="B7" s="24">
        <v>50</v>
      </c>
      <c r="C7" s="24">
        <v>50</v>
      </c>
      <c r="D7" s="24">
        <v>50</v>
      </c>
      <c r="E7" s="24">
        <v>50</v>
      </c>
      <c r="F7" s="24">
        <v>50</v>
      </c>
      <c r="G7" s="24">
        <v>50</v>
      </c>
      <c r="H7" s="24">
        <f>AVERAGE(H4:H6)</f>
        <v>100000</v>
      </c>
      <c r="I7" s="25">
        <f t="shared" ref="I7:K7" si="17">AVERAGE(I4:I6)</f>
        <v>50062.666666666664</v>
      </c>
      <c r="J7" s="24">
        <f t="shared" si="10"/>
        <v>49937.333333333336</v>
      </c>
      <c r="K7" s="25">
        <f t="shared" si="17"/>
        <v>437478.66666666669</v>
      </c>
      <c r="L7" s="25">
        <f t="shared" ref="L7" si="18">AVERAGE(L4:L6)</f>
        <v>435839</v>
      </c>
      <c r="M7" s="25">
        <f t="shared" ref="M7:AN7" si="19">AVERAGE(M4:M6)</f>
        <v>414145.66666666669</v>
      </c>
      <c r="N7" s="25">
        <f t="shared" si="19"/>
        <v>53178.333333333336</v>
      </c>
      <c r="O7" s="25">
        <f t="shared" si="19"/>
        <v>107560.66666666667</v>
      </c>
      <c r="P7" s="25">
        <f t="shared" si="19"/>
        <v>21982</v>
      </c>
      <c r="Q7" s="25">
        <f t="shared" si="19"/>
        <v>1735.3333333333333</v>
      </c>
      <c r="R7" s="25">
        <f t="shared" si="19"/>
        <v>12014.666666666666</v>
      </c>
      <c r="S7" s="25">
        <f t="shared" si="19"/>
        <v>44634.333333333336</v>
      </c>
      <c r="T7" s="25">
        <f t="shared" si="19"/>
        <v>169057.33333333334</v>
      </c>
      <c r="U7" s="25">
        <f t="shared" si="19"/>
        <v>33694.666666666664</v>
      </c>
      <c r="V7" s="25">
        <f t="shared" si="19"/>
        <v>96693.666666666672</v>
      </c>
      <c r="W7" s="25">
        <f t="shared" si="19"/>
        <v>3256.3333333333335</v>
      </c>
      <c r="X7" s="25">
        <f t="shared" si="19"/>
        <v>2663</v>
      </c>
      <c r="Y7" s="26">
        <f t="shared" si="19"/>
        <v>0.25966666666666666</v>
      </c>
      <c r="Z7" s="26">
        <f t="shared" si="19"/>
        <v>0.316</v>
      </c>
      <c r="AA7" s="26">
        <f t="shared" si="19"/>
        <v>0.40833333333333327</v>
      </c>
      <c r="AB7" s="26">
        <f t="shared" si="19"/>
        <v>0.72433333333333338</v>
      </c>
      <c r="AC7" s="27">
        <f t="shared" si="11"/>
        <v>0.50062666666666666</v>
      </c>
      <c r="AD7" s="26">
        <f>K7/H7</f>
        <v>4.374786666666667</v>
      </c>
      <c r="AE7" s="26" t="s">
        <v>50</v>
      </c>
      <c r="AF7" s="26" t="s">
        <v>50</v>
      </c>
      <c r="AG7" s="26">
        <f>AVERAGE(AG4:AG6)</f>
        <v>4.35839</v>
      </c>
      <c r="AH7" s="24">
        <f t="shared" si="19"/>
        <v>456797</v>
      </c>
      <c r="AI7" s="28">
        <f t="shared" si="19"/>
        <v>0.15724410456805052</v>
      </c>
      <c r="AJ7" s="27">
        <f t="shared" si="19"/>
        <v>4.8122089993280465E-2</v>
      </c>
      <c r="AK7" s="27">
        <f t="shared" si="19"/>
        <v>3.7989159570318456E-3</v>
      </c>
      <c r="AL7" s="27">
        <f t="shared" si="19"/>
        <v>2.6301986532697857E-2</v>
      </c>
      <c r="AM7" s="27">
        <f t="shared" si="19"/>
        <v>7.3762937346933524E-2</v>
      </c>
      <c r="AN7" s="28">
        <f t="shared" si="19"/>
        <v>0.21167767865154372</v>
      </c>
      <c r="AO7" s="28">
        <f t="shared" si="15"/>
        <v>0.459092286950462</v>
      </c>
      <c r="AP7" s="11"/>
      <c r="AQ7" s="11"/>
      <c r="AR7" s="10">
        <f t="shared" si="16"/>
        <v>0.3115155832244359</v>
      </c>
      <c r="AS7" s="13"/>
      <c r="AT7" s="13"/>
      <c r="AU7" s="13"/>
      <c r="AV7" s="13"/>
      <c r="AW7" s="13"/>
      <c r="AX7" s="13"/>
      <c r="AY7" s="13"/>
    </row>
    <row r="8" spans="1:60" x14ac:dyDescent="0.5">
      <c r="A8" t="s">
        <v>21</v>
      </c>
      <c r="B8">
        <v>20</v>
      </c>
      <c r="C8">
        <v>20</v>
      </c>
      <c r="D8">
        <v>20</v>
      </c>
      <c r="E8">
        <v>20</v>
      </c>
      <c r="F8">
        <v>20</v>
      </c>
      <c r="G8">
        <v>50</v>
      </c>
      <c r="H8">
        <v>100000</v>
      </c>
      <c r="I8">
        <v>45039</v>
      </c>
      <c r="J8">
        <f t="shared" si="10"/>
        <v>54961</v>
      </c>
      <c r="K8">
        <v>382270</v>
      </c>
      <c r="L8">
        <v>435927</v>
      </c>
      <c r="M8">
        <v>334620</v>
      </c>
      <c r="N8">
        <v>14558</v>
      </c>
      <c r="O8">
        <v>34945</v>
      </c>
      <c r="P8">
        <v>2941</v>
      </c>
      <c r="Q8">
        <v>194</v>
      </c>
      <c r="R8">
        <v>746</v>
      </c>
      <c r="S8">
        <v>8594</v>
      </c>
      <c r="T8">
        <v>40512</v>
      </c>
      <c r="U8">
        <v>4198</v>
      </c>
      <c r="V8">
        <v>171517</v>
      </c>
      <c r="W8">
        <v>1381</v>
      </c>
      <c r="X8">
        <v>1082</v>
      </c>
      <c r="Y8" s="6">
        <v>0.104</v>
      </c>
      <c r="Z8" s="6">
        <v>0.11799999999999999</v>
      </c>
      <c r="AA8" s="6">
        <v>0.121</v>
      </c>
      <c r="AB8" s="6">
        <v>0.23899999999999999</v>
      </c>
      <c r="AC8" s="9">
        <f t="shared" si="11"/>
        <v>0.45039000000000001</v>
      </c>
      <c r="AD8" s="6">
        <f t="shared" si="12"/>
        <v>3.8227000000000002</v>
      </c>
      <c r="AE8" s="12">
        <f>(AC8-$AC$7)*162</f>
        <v>-8.1383399999999977</v>
      </c>
      <c r="AF8" s="4">
        <f>(AD8-$AD$7)*162</f>
        <v>-89.438040000000029</v>
      </c>
      <c r="AG8" s="6">
        <f t="shared" si="13"/>
        <v>4.3592700000000004</v>
      </c>
      <c r="AH8">
        <f t="shared" si="14"/>
        <v>345594</v>
      </c>
      <c r="AI8" s="2">
        <f>(O8-SUM(P8:R8))/$AH8</f>
        <v>8.9885819776963721E-2</v>
      </c>
      <c r="AJ8" s="9">
        <f t="shared" si="5"/>
        <v>8.5099857057703548E-3</v>
      </c>
      <c r="AK8" s="9">
        <f t="shared" si="6"/>
        <v>5.6135233829291017E-4</v>
      </c>
      <c r="AL8" s="9">
        <f t="shared" si="7"/>
        <v>2.1586022905490257E-3</v>
      </c>
      <c r="AM8" s="9">
        <f t="shared" si="8"/>
        <v>1.2147201629657923E-2</v>
      </c>
      <c r="AN8" s="2">
        <f t="shared" si="9"/>
        <v>0.49629623199476841</v>
      </c>
      <c r="AO8" s="7">
        <f t="shared" si="15"/>
        <v>0.37044080626399767</v>
      </c>
      <c r="AP8" s="4">
        <f>$BA$3+SUMPRODUCT(AI8:AO8,$BB$3:$BH$3)</f>
        <v>-104.53480797934162</v>
      </c>
      <c r="AQ8" s="4">
        <f>$BA$4+($BB$4*AP8)</f>
        <v>-9.8761510647218156</v>
      </c>
      <c r="AR8" s="6">
        <f t="shared" si="16"/>
        <v>0.10528058936208384</v>
      </c>
      <c r="AS8" s="2">
        <f>AI8/AI$7</f>
        <v>0.57163236754649738</v>
      </c>
      <c r="AT8" s="2">
        <f t="shared" ref="AT8:AY8" si="20">AJ8/AJ$7</f>
        <v>0.17684156500598058</v>
      </c>
      <c r="AU8" s="2">
        <f t="shared" si="20"/>
        <v>0.14776645354679124</v>
      </c>
      <c r="AV8" s="2">
        <f t="shared" si="20"/>
        <v>8.2069933686017019E-2</v>
      </c>
      <c r="AW8" s="2">
        <f t="shared" si="20"/>
        <v>0.16467893045697571</v>
      </c>
      <c r="AX8" s="2">
        <f t="shared" si="20"/>
        <v>2.344584630539877</v>
      </c>
      <c r="AY8" s="2">
        <f t="shared" si="20"/>
        <v>0.80689834439316077</v>
      </c>
    </row>
    <row r="9" spans="1:60" x14ac:dyDescent="0.5">
      <c r="A9" t="s">
        <v>61</v>
      </c>
      <c r="B9">
        <v>20</v>
      </c>
      <c r="C9">
        <v>20</v>
      </c>
      <c r="D9">
        <v>20</v>
      </c>
      <c r="E9">
        <v>50</v>
      </c>
      <c r="F9">
        <v>20</v>
      </c>
      <c r="G9">
        <v>50</v>
      </c>
      <c r="H9">
        <v>100000</v>
      </c>
      <c r="I9">
        <v>46229</v>
      </c>
      <c r="J9">
        <f t="shared" si="10"/>
        <v>53771</v>
      </c>
      <c r="K9">
        <v>394284</v>
      </c>
      <c r="L9">
        <v>435735</v>
      </c>
      <c r="M9">
        <v>345054</v>
      </c>
      <c r="N9">
        <v>23763</v>
      </c>
      <c r="O9">
        <v>44006</v>
      </c>
      <c r="P9">
        <v>2765</v>
      </c>
      <c r="Q9">
        <v>180</v>
      </c>
      <c r="R9">
        <v>10157</v>
      </c>
      <c r="S9">
        <v>22750</v>
      </c>
      <c r="T9">
        <v>77602</v>
      </c>
      <c r="U9">
        <v>4317</v>
      </c>
      <c r="V9">
        <v>176749</v>
      </c>
      <c r="W9">
        <v>1326</v>
      </c>
      <c r="X9">
        <v>1017</v>
      </c>
      <c r="Y9" s="6">
        <v>0.128</v>
      </c>
      <c r="Z9" s="6">
        <v>0.14099999999999999</v>
      </c>
      <c r="AA9" s="6">
        <v>0.22500000000000001</v>
      </c>
      <c r="AB9" s="6">
        <v>0.36599999999999999</v>
      </c>
      <c r="AC9" s="9">
        <f t="shared" si="11"/>
        <v>0.46228999999999998</v>
      </c>
      <c r="AD9" s="6">
        <f t="shared" si="12"/>
        <v>3.9428399999999999</v>
      </c>
      <c r="AE9" s="12">
        <f>(AC9-$AC$7)*162</f>
        <v>-6.2105400000000035</v>
      </c>
      <c r="AF9" s="4">
        <f>(AD9-$AD$7)*162</f>
        <v>-69.97536000000008</v>
      </c>
      <c r="AG9" s="6">
        <f t="shared" si="13"/>
        <v>4.3573500000000003</v>
      </c>
      <c r="AH9">
        <f t="shared" ref="AH9" si="21">ROUND((M9+U9)*1.02,0)</f>
        <v>356358</v>
      </c>
      <c r="AI9" s="2">
        <f>(O9-SUM(P9:R9))/$AH9</f>
        <v>8.6721779783251671E-2</v>
      </c>
      <c r="AJ9" s="9">
        <f t="shared" ref="AJ9" si="22">P9/$AH9</f>
        <v>7.7590512911173597E-3</v>
      </c>
      <c r="AK9" s="9">
        <f t="shared" ref="AK9" si="23">Q9/$AH9</f>
        <v>5.0511002980149181E-4</v>
      </c>
      <c r="AL9" s="9">
        <f t="shared" ref="AL9" si="24">R9/$AH9</f>
        <v>2.8502236514965289E-2</v>
      </c>
      <c r="AM9" s="9">
        <f t="shared" ref="AM9" si="25">U9/$AH9</f>
        <v>1.2114222214739111E-2</v>
      </c>
      <c r="AN9" s="2">
        <f t="shared" ref="AN9" si="26">V9/$AH9</f>
        <v>0.49598718142991038</v>
      </c>
      <c r="AO9" s="7">
        <f t="shared" ref="AO9" si="27">1-SUM(AI9:AN9)-0.02</f>
        <v>0.3484104187362147</v>
      </c>
      <c r="AP9" s="4">
        <f t="shared" ref="AP9:AP72" si="28">$BA$3+SUMPRODUCT(AI9:AO9,$BB$3:$BH$3)</f>
        <v>-76.786226130737759</v>
      </c>
      <c r="AQ9" s="4">
        <f t="shared" ref="AQ9:AQ72" si="29">$BA$4+$BB$4*AP9</f>
        <v>-7.1828371159233386</v>
      </c>
      <c r="AR9" s="6">
        <f t="shared" ref="AR9" si="30">SUMPRODUCT($AI$1:$AN$1,AI9:AN9)</f>
        <v>0.15276039825119683</v>
      </c>
      <c r="AS9" s="2">
        <f>AI9/AI$7</f>
        <v>0.55151053212122869</v>
      </c>
      <c r="AT9" s="2">
        <f t="shared" ref="AT9:AT10" si="31">AJ9/AJ$7</f>
        <v>0.16123678942873837</v>
      </c>
      <c r="AU9" s="2">
        <f t="shared" ref="AU9:AU10" si="32">AK9/AK$7</f>
        <v>0.1329616226088198</v>
      </c>
      <c r="AV9" s="2">
        <f t="shared" ref="AV9:AV10" si="33">AL9/AL$7</f>
        <v>1.0836533765056926</v>
      </c>
      <c r="AW9" s="2">
        <f t="shared" ref="AW9:AW10" si="34">AM9/AM$7</f>
        <v>0.1642318303806366</v>
      </c>
      <c r="AX9" s="2">
        <f t="shared" ref="AX9:AX10" si="35">AN9/AN$7</f>
        <v>2.3431246250880657</v>
      </c>
      <c r="AY9" s="2">
        <f t="shared" ref="AY9:AY10" si="36">AO9/AO$7</f>
        <v>0.75891150568123067</v>
      </c>
    </row>
    <row r="10" spans="1:60" x14ac:dyDescent="0.5">
      <c r="A10" t="s">
        <v>60</v>
      </c>
      <c r="B10">
        <v>20</v>
      </c>
      <c r="C10">
        <v>20</v>
      </c>
      <c r="D10">
        <v>20</v>
      </c>
      <c r="E10">
        <v>55</v>
      </c>
      <c r="F10">
        <v>20</v>
      </c>
      <c r="G10">
        <v>50</v>
      </c>
      <c r="H10">
        <v>100000</v>
      </c>
      <c r="I10">
        <v>46579</v>
      </c>
      <c r="J10">
        <f t="shared" si="10"/>
        <v>53421</v>
      </c>
      <c r="K10">
        <v>396772</v>
      </c>
      <c r="L10">
        <v>435682</v>
      </c>
      <c r="M10">
        <v>347172</v>
      </c>
      <c r="N10">
        <v>26279</v>
      </c>
      <c r="O10">
        <v>45923</v>
      </c>
      <c r="P10">
        <v>2657</v>
      </c>
      <c r="Q10">
        <v>213</v>
      </c>
      <c r="R10">
        <v>12688</v>
      </c>
      <c r="S10">
        <v>26144</v>
      </c>
      <c r="T10">
        <v>87070</v>
      </c>
      <c r="U10">
        <v>4412</v>
      </c>
      <c r="V10">
        <v>178373</v>
      </c>
      <c r="W10">
        <v>1368</v>
      </c>
      <c r="X10">
        <v>1058</v>
      </c>
      <c r="Y10" s="6">
        <v>0.13200000000000001</v>
      </c>
      <c r="Z10" s="6">
        <v>0.14599999999999999</v>
      </c>
      <c r="AA10" s="6">
        <v>0.251</v>
      </c>
      <c r="AB10" s="6">
        <v>0.39700000000000002</v>
      </c>
      <c r="AC10" s="9">
        <f t="shared" si="11"/>
        <v>0.46578999999999998</v>
      </c>
      <c r="AD10" s="6">
        <f t="shared" si="12"/>
        <v>3.9677199999999999</v>
      </c>
      <c r="AE10" s="12">
        <f>(AC10-$AC$7)*162</f>
        <v>-5.6435400000000024</v>
      </c>
      <c r="AF10" s="4">
        <f>(AD10-$AD$7)*162</f>
        <v>-65.944800000000072</v>
      </c>
      <c r="AG10" s="6">
        <f t="shared" si="13"/>
        <v>4.3568199999999999</v>
      </c>
      <c r="AH10">
        <f t="shared" ref="AH10" si="37">ROUND((M10+U10)*1.02,0)</f>
        <v>358616</v>
      </c>
      <c r="AI10" s="2">
        <f>(O10-SUM(P10:R10))/$AH10</f>
        <v>8.4672741874316823E-2</v>
      </c>
      <c r="AJ10" s="9">
        <f t="shared" ref="AJ10" si="38">P10/$AH10</f>
        <v>7.4090391951279365E-3</v>
      </c>
      <c r="AK10" s="9">
        <f t="shared" ref="AK10" si="39">Q10/$AH10</f>
        <v>5.939500747317465E-4</v>
      </c>
      <c r="AL10" s="9">
        <f t="shared" ref="AL10" si="40">R10/$AH10</f>
        <v>3.5380462667588729E-2</v>
      </c>
      <c r="AM10" s="9">
        <f t="shared" ref="AM10" si="41">U10/$AH10</f>
        <v>1.2302853191157115E-2</v>
      </c>
      <c r="AN10" s="2">
        <f t="shared" ref="AN10" si="42">V10/$AH10</f>
        <v>0.49739275436678787</v>
      </c>
      <c r="AO10" s="7">
        <f t="shared" ref="AO10" si="43">1-SUM(AI10:AN10)-0.02</f>
        <v>0.34224819863028977</v>
      </c>
      <c r="AP10" s="4">
        <f t="shared" si="28"/>
        <v>-69.616819557382314</v>
      </c>
      <c r="AQ10" s="4">
        <f t="shared" si="29"/>
        <v>-6.4869650589664083</v>
      </c>
      <c r="AR10" s="6">
        <f t="shared" ref="AR10" si="44">SUMPRODUCT($AI$1:$AN$1,AI10:AN10)</f>
        <v>0.16416919490485646</v>
      </c>
      <c r="AS10" s="2">
        <f t="shared" ref="AS10:AS58" si="45">AI10/AI$7</f>
        <v>0.53847959582912697</v>
      </c>
      <c r="AT10" s="2">
        <f t="shared" si="31"/>
        <v>0.15396337100409602</v>
      </c>
      <c r="AU10" s="2">
        <f t="shared" si="32"/>
        <v>0.15634725312423317</v>
      </c>
      <c r="AV10" s="2">
        <f t="shared" si="33"/>
        <v>1.34516313524854</v>
      </c>
      <c r="AW10" s="2">
        <f t="shared" si="34"/>
        <v>0.16678908993675765</v>
      </c>
      <c r="AX10" s="2">
        <f t="shared" si="35"/>
        <v>2.3497647816970733</v>
      </c>
      <c r="AY10" s="2">
        <f t="shared" si="36"/>
        <v>0.74548888830976978</v>
      </c>
    </row>
    <row r="11" spans="1:60" x14ac:dyDescent="0.5">
      <c r="A11" t="s">
        <v>96</v>
      </c>
      <c r="B11">
        <v>20</v>
      </c>
      <c r="C11">
        <v>50</v>
      </c>
      <c r="D11">
        <v>50</v>
      </c>
      <c r="E11">
        <v>50</v>
      </c>
      <c r="F11">
        <v>50</v>
      </c>
      <c r="G11">
        <v>50</v>
      </c>
      <c r="H11">
        <v>100000</v>
      </c>
      <c r="I11">
        <v>47491</v>
      </c>
      <c r="J11">
        <f t="shared" si="10"/>
        <v>52509</v>
      </c>
      <c r="K11">
        <v>407344</v>
      </c>
      <c r="L11">
        <v>434054</v>
      </c>
      <c r="M11">
        <v>381888</v>
      </c>
      <c r="N11">
        <v>38175</v>
      </c>
      <c r="O11">
        <v>65383</v>
      </c>
      <c r="P11">
        <v>12112</v>
      </c>
      <c r="Q11">
        <v>899</v>
      </c>
      <c r="R11">
        <v>11018</v>
      </c>
      <c r="S11">
        <v>30759</v>
      </c>
      <c r="T11">
        <v>112347</v>
      </c>
      <c r="U11">
        <v>30506</v>
      </c>
      <c r="V11">
        <v>196908</v>
      </c>
      <c r="W11">
        <v>2268</v>
      </c>
      <c r="X11">
        <v>1829</v>
      </c>
      <c r="Y11" s="6">
        <v>0.17100000000000001</v>
      </c>
      <c r="Z11" s="6">
        <v>0.23400000000000001</v>
      </c>
      <c r="AA11" s="6">
        <v>0.29399999999999998</v>
      </c>
      <c r="AB11" s="6">
        <v>0.52900000000000003</v>
      </c>
      <c r="AC11" s="9">
        <f t="shared" si="11"/>
        <v>0.47491</v>
      </c>
      <c r="AD11" s="6">
        <f t="shared" ref="AD11:AD22" si="46">K11/H11</f>
        <v>4.0734399999999997</v>
      </c>
      <c r="AE11" s="12">
        <f t="shared" ref="AE11:AE22" si="47">(AC11-$AC$7)*162</f>
        <v>-4.1661000000000001</v>
      </c>
      <c r="AF11" s="4">
        <f t="shared" ref="AF11:AF22" si="48">(AD11-$AD$7)*162</f>
        <v>-48.818160000000105</v>
      </c>
      <c r="AG11" s="6">
        <f t="shared" ref="AG11:AG22" si="49">L11/H11</f>
        <v>4.3405399999999998</v>
      </c>
      <c r="AH11">
        <f t="shared" ref="AH11:AH22" si="50">ROUND((M11+U11)*1.02,0)</f>
        <v>420642</v>
      </c>
      <c r="AI11" s="2">
        <f t="shared" ref="AI11:AI22" si="51">(O11-SUM(P11:R11))/$AH11</f>
        <v>9.831162841561232E-2</v>
      </c>
      <c r="AJ11" s="9">
        <f t="shared" ref="AJ11:AJ22" si="52">P11/$AH11</f>
        <v>2.8794081427912573E-2</v>
      </c>
      <c r="AK11" s="9">
        <f t="shared" ref="AK11:AK22" si="53">Q11/$AH11</f>
        <v>2.1372093133828767E-3</v>
      </c>
      <c r="AL11" s="9">
        <f t="shared" ref="AL11:AL22" si="54">R11/$AH11</f>
        <v>2.6193295010959437E-2</v>
      </c>
      <c r="AM11" s="9">
        <f t="shared" ref="AM11:AM22" si="55">U11/$AH11</f>
        <v>7.2522477546226954E-2</v>
      </c>
      <c r="AN11" s="2">
        <f t="shared" ref="AN11:AN22" si="56">V11/$AH11</f>
        <v>0.46811302722980586</v>
      </c>
      <c r="AO11" s="7">
        <f t="shared" ref="AO11:AO22" si="57">1-SUM(AI11:AN11)-0.02</f>
        <v>0.28392828105609991</v>
      </c>
      <c r="AP11" s="4">
        <f t="shared" si="28"/>
        <v>-45.018901299298705</v>
      </c>
      <c r="AQ11" s="4">
        <f t="shared" si="29"/>
        <v>-4.0994586733298171</v>
      </c>
      <c r="AR11" s="6">
        <f t="shared" ref="AR11:AR22" si="58">SUMPRODUCT($AI$1:$AN$1,AI11:AN11)</f>
        <v>0.23081228217819427</v>
      </c>
      <c r="AS11" s="2">
        <f t="shared" ref="AS11:AS22" si="59">AI11/AI$7</f>
        <v>0.62521662535886047</v>
      </c>
      <c r="AT11" s="2">
        <f t="shared" ref="AT11:AT22" si="60">AJ11/AJ$7</f>
        <v>0.59835475624465273</v>
      </c>
      <c r="AU11" s="2">
        <f t="shared" ref="AU11:AU22" si="61">AK11/AK$7</f>
        <v>0.56258399436999207</v>
      </c>
      <c r="AV11" s="2">
        <f t="shared" ref="AV11:AV22" si="62">AL11/AL$7</f>
        <v>0.99586755465777088</v>
      </c>
      <c r="AW11" s="2">
        <f t="shared" ref="AW11:AW22" si="63">AM11/AM$7</f>
        <v>0.98318315613066976</v>
      </c>
      <c r="AX11" s="2">
        <f t="shared" ref="AX11:AX22" si="64">AN11/AN$7</f>
        <v>2.2114425583832906</v>
      </c>
      <c r="AY11" s="2">
        <f t="shared" ref="AY11:AY22" si="65">AO11/AO$7</f>
        <v>0.61845578574648752</v>
      </c>
    </row>
    <row r="12" spans="1:60" x14ac:dyDescent="0.5">
      <c r="A12" t="s">
        <v>97</v>
      </c>
      <c r="B12">
        <v>25</v>
      </c>
      <c r="C12">
        <v>50</v>
      </c>
      <c r="D12">
        <v>50</v>
      </c>
      <c r="E12">
        <v>50</v>
      </c>
      <c r="F12">
        <v>50</v>
      </c>
      <c r="G12">
        <v>50</v>
      </c>
      <c r="H12">
        <v>100000</v>
      </c>
      <c r="I12">
        <v>48291</v>
      </c>
      <c r="J12">
        <f t="shared" si="10"/>
        <v>51709</v>
      </c>
      <c r="K12">
        <v>417221</v>
      </c>
      <c r="L12">
        <v>434212</v>
      </c>
      <c r="M12">
        <v>404354</v>
      </c>
      <c r="N12">
        <v>44327</v>
      </c>
      <c r="O12">
        <v>83005</v>
      </c>
      <c r="P12">
        <v>16088</v>
      </c>
      <c r="Q12">
        <v>1231</v>
      </c>
      <c r="R12">
        <v>11599</v>
      </c>
      <c r="S12">
        <v>37046</v>
      </c>
      <c r="T12">
        <v>136352</v>
      </c>
      <c r="U12">
        <v>32373</v>
      </c>
      <c r="V12">
        <v>164423</v>
      </c>
      <c r="W12">
        <v>2640</v>
      </c>
      <c r="X12">
        <v>2187</v>
      </c>
      <c r="Y12" s="6">
        <v>0.20499999999999999</v>
      </c>
      <c r="Z12" s="6">
        <v>0.26600000000000001</v>
      </c>
      <c r="AA12" s="6">
        <v>0.33700000000000002</v>
      </c>
      <c r="AB12" s="6">
        <v>0.60299999999999998</v>
      </c>
      <c r="AC12" s="9">
        <f t="shared" si="11"/>
        <v>0.48291000000000001</v>
      </c>
      <c r="AD12" s="6">
        <f t="shared" si="46"/>
        <v>4.1722099999999998</v>
      </c>
      <c r="AE12" s="12">
        <f t="shared" si="47"/>
        <v>-2.8700999999999985</v>
      </c>
      <c r="AF12" s="4">
        <f t="shared" si="48"/>
        <v>-32.817420000000098</v>
      </c>
      <c r="AG12" s="6">
        <f t="shared" si="49"/>
        <v>4.3421200000000004</v>
      </c>
      <c r="AH12">
        <f t="shared" si="50"/>
        <v>445462</v>
      </c>
      <c r="AI12" s="2">
        <f t="shared" si="51"/>
        <v>0.12141776402925503</v>
      </c>
      <c r="AJ12" s="9">
        <f t="shared" si="52"/>
        <v>3.6115313988623048E-2</v>
      </c>
      <c r="AK12" s="9">
        <f t="shared" si="53"/>
        <v>2.7634231427147546E-3</v>
      </c>
      <c r="AL12" s="9">
        <f t="shared" si="54"/>
        <v>2.603813568834154E-2</v>
      </c>
      <c r="AM12" s="9">
        <f t="shared" si="55"/>
        <v>7.267286547449614E-2</v>
      </c>
      <c r="AN12" s="2">
        <f t="shared" si="56"/>
        <v>0.36910668025555493</v>
      </c>
      <c r="AO12" s="7">
        <f t="shared" si="57"/>
        <v>0.35188581742101455</v>
      </c>
      <c r="AP12" s="4">
        <f t="shared" si="28"/>
        <v>-29.498846218717063</v>
      </c>
      <c r="AQ12" s="4">
        <f t="shared" si="29"/>
        <v>-2.5930616595035274</v>
      </c>
      <c r="AR12" s="6">
        <f t="shared" si="58"/>
        <v>0.26146874480876037</v>
      </c>
      <c r="AS12" s="2">
        <f t="shared" si="59"/>
        <v>0.77216099365244606</v>
      </c>
      <c r="AT12" s="2">
        <f t="shared" si="60"/>
        <v>0.75049346347313706</v>
      </c>
      <c r="AU12" s="2">
        <f t="shared" si="61"/>
        <v>0.72742413203419787</v>
      </c>
      <c r="AV12" s="2">
        <f t="shared" si="62"/>
        <v>0.98996840622557902</v>
      </c>
      <c r="AW12" s="2">
        <f t="shared" si="63"/>
        <v>0.9852219568302929</v>
      </c>
      <c r="AX12" s="2">
        <f t="shared" si="64"/>
        <v>1.7437203705505731</v>
      </c>
      <c r="AY12" s="2">
        <f t="shared" si="65"/>
        <v>0.76648165831412562</v>
      </c>
    </row>
    <row r="13" spans="1:60" x14ac:dyDescent="0.5">
      <c r="A13" t="s">
        <v>98</v>
      </c>
      <c r="B13">
        <v>30</v>
      </c>
      <c r="C13">
        <v>50</v>
      </c>
      <c r="D13">
        <v>50</v>
      </c>
      <c r="E13">
        <v>50</v>
      </c>
      <c r="F13">
        <v>50</v>
      </c>
      <c r="G13">
        <v>50</v>
      </c>
      <c r="H13">
        <v>100000</v>
      </c>
      <c r="I13">
        <v>48530</v>
      </c>
      <c r="J13">
        <f t="shared" si="10"/>
        <v>51470</v>
      </c>
      <c r="K13">
        <v>420121</v>
      </c>
      <c r="L13">
        <v>434355</v>
      </c>
      <c r="M13">
        <v>404968</v>
      </c>
      <c r="N13">
        <v>45908</v>
      </c>
      <c r="O13">
        <v>87544</v>
      </c>
      <c r="P13">
        <v>17007</v>
      </c>
      <c r="Q13">
        <v>1332</v>
      </c>
      <c r="R13">
        <v>11788</v>
      </c>
      <c r="S13">
        <v>38826</v>
      </c>
      <c r="T13">
        <v>142579</v>
      </c>
      <c r="U13">
        <v>32451</v>
      </c>
      <c r="V13">
        <v>149603</v>
      </c>
      <c r="W13">
        <v>2737</v>
      </c>
      <c r="X13">
        <v>2233</v>
      </c>
      <c r="Y13" s="6">
        <v>0.216</v>
      </c>
      <c r="Z13" s="6">
        <v>0.27600000000000002</v>
      </c>
      <c r="AA13" s="6">
        <v>0.35199999999999998</v>
      </c>
      <c r="AB13" s="6">
        <v>0.628</v>
      </c>
      <c r="AC13" s="9">
        <f t="shared" si="11"/>
        <v>0.48530000000000001</v>
      </c>
      <c r="AD13" s="6">
        <f t="shared" si="46"/>
        <v>4.2012099999999997</v>
      </c>
      <c r="AE13" s="12">
        <f t="shared" si="47"/>
        <v>-2.4829199999999982</v>
      </c>
      <c r="AF13" s="4">
        <f t="shared" si="48"/>
        <v>-28.119420000000115</v>
      </c>
      <c r="AG13" s="6">
        <f t="shared" si="49"/>
        <v>4.3435499999999996</v>
      </c>
      <c r="AH13">
        <f t="shared" si="50"/>
        <v>446167</v>
      </c>
      <c r="AI13" s="2">
        <f t="shared" si="51"/>
        <v>0.12868948174114178</v>
      </c>
      <c r="AJ13" s="9">
        <f t="shared" si="52"/>
        <v>3.8118014106825471E-2</v>
      </c>
      <c r="AK13" s="9">
        <f t="shared" si="53"/>
        <v>2.9854292226901588E-3</v>
      </c>
      <c r="AL13" s="9">
        <f t="shared" si="54"/>
        <v>2.6420600358161853E-2</v>
      </c>
      <c r="AM13" s="9">
        <f t="shared" si="55"/>
        <v>7.2732855634773524E-2</v>
      </c>
      <c r="AN13" s="2">
        <f t="shared" si="56"/>
        <v>0.3353071831847716</v>
      </c>
      <c r="AO13" s="7">
        <f t="shared" si="57"/>
        <v>0.37574643575163558</v>
      </c>
      <c r="AP13" s="4">
        <f t="shared" si="28"/>
        <v>-23.98821505679507</v>
      </c>
      <c r="AQ13" s="4">
        <f t="shared" si="29"/>
        <v>-2.0581925315579919</v>
      </c>
      <c r="AR13" s="6">
        <f t="shared" si="58"/>
        <v>0.27163196740234036</v>
      </c>
      <c r="AS13" s="2">
        <f t="shared" si="59"/>
        <v>0.8184057653204343</v>
      </c>
      <c r="AT13" s="2">
        <f t="shared" si="60"/>
        <v>0.79211052787084035</v>
      </c>
      <c r="AU13" s="2">
        <f t="shared" si="61"/>
        <v>0.78586345590617457</v>
      </c>
      <c r="AV13" s="2">
        <f t="shared" si="62"/>
        <v>1.0045096907534545</v>
      </c>
      <c r="AW13" s="2">
        <f t="shared" si="63"/>
        <v>0.98603524006486953</v>
      </c>
      <c r="AX13" s="2">
        <f t="shared" si="64"/>
        <v>1.5840460143024451</v>
      </c>
      <c r="AY13" s="2">
        <f t="shared" si="65"/>
        <v>0.81845512641378837</v>
      </c>
    </row>
    <row r="14" spans="1:60" x14ac:dyDescent="0.5">
      <c r="A14" t="s">
        <v>99</v>
      </c>
      <c r="B14">
        <v>35</v>
      </c>
      <c r="C14">
        <v>50</v>
      </c>
      <c r="D14">
        <v>50</v>
      </c>
      <c r="E14">
        <v>50</v>
      </c>
      <c r="F14">
        <v>50</v>
      </c>
      <c r="G14">
        <v>50</v>
      </c>
      <c r="H14">
        <v>100000</v>
      </c>
      <c r="I14">
        <v>48910</v>
      </c>
      <c r="J14">
        <f t="shared" si="10"/>
        <v>51090</v>
      </c>
      <c r="K14">
        <v>424356</v>
      </c>
      <c r="L14">
        <v>433982</v>
      </c>
      <c r="M14">
        <v>407326</v>
      </c>
      <c r="N14">
        <v>48253</v>
      </c>
      <c r="O14">
        <v>92928</v>
      </c>
      <c r="P14">
        <v>18382</v>
      </c>
      <c r="Q14">
        <v>1383</v>
      </c>
      <c r="R14">
        <v>12007</v>
      </c>
      <c r="S14">
        <v>40543</v>
      </c>
      <c r="T14">
        <v>150097</v>
      </c>
      <c r="U14">
        <v>32992</v>
      </c>
      <c r="V14">
        <v>135822</v>
      </c>
      <c r="W14">
        <v>2861</v>
      </c>
      <c r="X14">
        <v>2347</v>
      </c>
      <c r="Y14" s="6">
        <v>0.22800000000000001</v>
      </c>
      <c r="Z14" s="6">
        <v>0.28699999999999998</v>
      </c>
      <c r="AA14" s="6">
        <v>0.36799999999999999</v>
      </c>
      <c r="AB14" s="6">
        <v>0.65600000000000003</v>
      </c>
      <c r="AC14" s="9">
        <f t="shared" si="11"/>
        <v>0.48909999999999998</v>
      </c>
      <c r="AD14" s="6">
        <f t="shared" si="46"/>
        <v>4.2435600000000004</v>
      </c>
      <c r="AE14" s="12">
        <f t="shared" si="47"/>
        <v>-1.867320000000003</v>
      </c>
      <c r="AF14" s="4">
        <f t="shared" si="48"/>
        <v>-21.25871999999999</v>
      </c>
      <c r="AG14" s="6">
        <f t="shared" si="49"/>
        <v>4.3398199999999996</v>
      </c>
      <c r="AH14">
        <f t="shared" si="50"/>
        <v>449124</v>
      </c>
      <c r="AI14" s="2">
        <f t="shared" si="51"/>
        <v>0.13616729455562385</v>
      </c>
      <c r="AJ14" s="9">
        <f t="shared" si="52"/>
        <v>4.0928563158504107E-2</v>
      </c>
      <c r="AK14" s="9">
        <f t="shared" si="53"/>
        <v>3.0793277580356427E-3</v>
      </c>
      <c r="AL14" s="9">
        <f t="shared" si="54"/>
        <v>2.6734264924608793E-2</v>
      </c>
      <c r="AM14" s="9">
        <f t="shared" si="55"/>
        <v>7.3458554875713608E-2</v>
      </c>
      <c r="AN14" s="2">
        <f t="shared" si="56"/>
        <v>0.30241536858417722</v>
      </c>
      <c r="AO14" s="7">
        <f t="shared" si="57"/>
        <v>0.39721662614333675</v>
      </c>
      <c r="AP14" s="4">
        <f t="shared" si="28"/>
        <v>-18.570065378331037</v>
      </c>
      <c r="AQ14" s="4">
        <f t="shared" si="29"/>
        <v>-1.5322997783606107</v>
      </c>
      <c r="AR14" s="6">
        <f t="shared" si="58"/>
        <v>0.2831277108326431</v>
      </c>
      <c r="AS14" s="2">
        <f t="shared" si="59"/>
        <v>0.86596120681074396</v>
      </c>
      <c r="AT14" s="2">
        <f t="shared" si="60"/>
        <v>0.85051507871372944</v>
      </c>
      <c r="AU14" s="2">
        <f t="shared" si="61"/>
        <v>0.81058064797031493</v>
      </c>
      <c r="AV14" s="2">
        <f t="shared" si="62"/>
        <v>1.0164351993479102</v>
      </c>
      <c r="AW14" s="2">
        <f t="shared" si="63"/>
        <v>0.99587350392801877</v>
      </c>
      <c r="AX14" s="2">
        <f t="shared" si="64"/>
        <v>1.4286596986071578</v>
      </c>
      <c r="AY14" s="2">
        <f t="shared" si="65"/>
        <v>0.86522173740243669</v>
      </c>
    </row>
    <row r="15" spans="1:60" x14ac:dyDescent="0.5">
      <c r="A15" t="s">
        <v>100</v>
      </c>
      <c r="B15">
        <v>40</v>
      </c>
      <c r="C15">
        <v>50</v>
      </c>
      <c r="D15">
        <v>50</v>
      </c>
      <c r="E15">
        <v>50</v>
      </c>
      <c r="F15">
        <v>50</v>
      </c>
      <c r="G15">
        <v>50</v>
      </c>
      <c r="H15">
        <v>100000</v>
      </c>
      <c r="I15">
        <v>49429</v>
      </c>
      <c r="J15">
        <f t="shared" si="10"/>
        <v>50571</v>
      </c>
      <c r="K15">
        <v>429496</v>
      </c>
      <c r="L15">
        <v>435052</v>
      </c>
      <c r="M15">
        <v>411466</v>
      </c>
      <c r="N15">
        <v>50160</v>
      </c>
      <c r="O15">
        <v>99238</v>
      </c>
      <c r="P15">
        <v>19791</v>
      </c>
      <c r="Q15">
        <v>1537</v>
      </c>
      <c r="R15">
        <v>12052</v>
      </c>
      <c r="S15">
        <v>42464</v>
      </c>
      <c r="T15">
        <v>158259</v>
      </c>
      <c r="U15">
        <v>33322</v>
      </c>
      <c r="V15">
        <v>120970</v>
      </c>
      <c r="W15">
        <v>3151</v>
      </c>
      <c r="X15">
        <v>2473</v>
      </c>
      <c r="Y15" s="6">
        <v>0.24099999999999999</v>
      </c>
      <c r="Z15" s="6">
        <v>0.29899999999999999</v>
      </c>
      <c r="AA15" s="6">
        <v>0.38500000000000001</v>
      </c>
      <c r="AB15" s="6">
        <v>0.68400000000000005</v>
      </c>
      <c r="AC15" s="9">
        <f t="shared" si="11"/>
        <v>0.49429000000000001</v>
      </c>
      <c r="AD15" s="6">
        <f t="shared" si="46"/>
        <v>4.2949599999999997</v>
      </c>
      <c r="AE15" s="12">
        <f t="shared" si="47"/>
        <v>-1.0265399999999985</v>
      </c>
      <c r="AF15" s="4">
        <f t="shared" si="48"/>
        <v>-12.931920000000115</v>
      </c>
      <c r="AG15" s="6">
        <f t="shared" si="49"/>
        <v>4.3505200000000004</v>
      </c>
      <c r="AH15">
        <f t="shared" si="50"/>
        <v>453684</v>
      </c>
      <c r="AI15" s="2">
        <f t="shared" si="51"/>
        <v>0.14516271237248835</v>
      </c>
      <c r="AJ15" s="9">
        <f t="shared" si="52"/>
        <v>4.3622874070939247E-2</v>
      </c>
      <c r="AK15" s="9">
        <f t="shared" si="53"/>
        <v>3.3878205975965648E-3</v>
      </c>
      <c r="AL15" s="9">
        <f t="shared" si="54"/>
        <v>2.6564745505682368E-2</v>
      </c>
      <c r="AM15" s="9">
        <f t="shared" si="55"/>
        <v>7.3447597887516425E-2</v>
      </c>
      <c r="AN15" s="2">
        <f t="shared" si="56"/>
        <v>0.26663933486744079</v>
      </c>
      <c r="AO15" s="7">
        <f t="shared" si="57"/>
        <v>0.42117491469833634</v>
      </c>
      <c r="AP15" s="4">
        <f t="shared" si="28"/>
        <v>-12.625506659494476</v>
      </c>
      <c r="AQ15" s="4">
        <f t="shared" si="29"/>
        <v>-0.95531306948130013</v>
      </c>
      <c r="AR15" s="6">
        <f t="shared" si="58"/>
        <v>0.29470732933054727</v>
      </c>
      <c r="AS15" s="2">
        <f t="shared" si="59"/>
        <v>0.92316791635050643</v>
      </c>
      <c r="AT15" s="2">
        <f t="shared" si="60"/>
        <v>0.90650414553961667</v>
      </c>
      <c r="AU15" s="2">
        <f t="shared" si="61"/>
        <v>0.89178614002388301</v>
      </c>
      <c r="AV15" s="2">
        <f t="shared" si="62"/>
        <v>1.0099900808882956</v>
      </c>
      <c r="AW15" s="2">
        <f t="shared" si="63"/>
        <v>0.99572496065423821</v>
      </c>
      <c r="AX15" s="2">
        <f t="shared" si="64"/>
        <v>1.2596478597366565</v>
      </c>
      <c r="AY15" s="2">
        <f t="shared" si="65"/>
        <v>0.91740795188698721</v>
      </c>
    </row>
    <row r="16" spans="1:60" x14ac:dyDescent="0.5">
      <c r="A16" t="s">
        <v>101</v>
      </c>
      <c r="B16">
        <v>45</v>
      </c>
      <c r="C16">
        <v>50</v>
      </c>
      <c r="D16">
        <v>50</v>
      </c>
      <c r="E16">
        <v>50</v>
      </c>
      <c r="F16">
        <v>50</v>
      </c>
      <c r="G16">
        <v>50</v>
      </c>
      <c r="H16">
        <v>100000</v>
      </c>
      <c r="I16">
        <v>49612</v>
      </c>
      <c r="J16">
        <f t="shared" si="10"/>
        <v>50388</v>
      </c>
      <c r="K16">
        <v>430723</v>
      </c>
      <c r="L16">
        <v>433896</v>
      </c>
      <c r="M16">
        <v>412767</v>
      </c>
      <c r="N16">
        <v>51151</v>
      </c>
      <c r="O16">
        <v>103302</v>
      </c>
      <c r="P16">
        <v>20931</v>
      </c>
      <c r="Q16">
        <v>1581</v>
      </c>
      <c r="R16">
        <v>11970</v>
      </c>
      <c r="S16">
        <v>43262</v>
      </c>
      <c r="T16">
        <v>163305</v>
      </c>
      <c r="U16">
        <v>33686</v>
      </c>
      <c r="V16">
        <v>107135</v>
      </c>
      <c r="W16">
        <v>3127</v>
      </c>
      <c r="X16">
        <v>2593</v>
      </c>
      <c r="Y16" s="6">
        <v>0.25</v>
      </c>
      <c r="Z16" s="6">
        <v>0.308</v>
      </c>
      <c r="AA16" s="6">
        <v>0.39600000000000002</v>
      </c>
      <c r="AB16" s="6">
        <v>0.70299999999999996</v>
      </c>
      <c r="AC16" s="9">
        <f t="shared" si="11"/>
        <v>0.49612000000000001</v>
      </c>
      <c r="AD16" s="6">
        <f t="shared" si="46"/>
        <v>4.3072299999999997</v>
      </c>
      <c r="AE16" s="12">
        <f t="shared" si="47"/>
        <v>-0.73007999999999873</v>
      </c>
      <c r="AF16" s="4">
        <f t="shared" si="48"/>
        <v>-10.944180000000115</v>
      </c>
      <c r="AG16" s="6">
        <f t="shared" si="49"/>
        <v>4.3389600000000002</v>
      </c>
      <c r="AH16">
        <f t="shared" si="50"/>
        <v>455382</v>
      </c>
      <c r="AI16" s="2">
        <f t="shared" si="51"/>
        <v>0.15112586795262001</v>
      </c>
      <c r="AJ16" s="9">
        <f t="shared" si="52"/>
        <v>4.5963608574778977E-2</v>
      </c>
      <c r="AK16" s="9">
        <f t="shared" si="53"/>
        <v>3.4718104799926217E-3</v>
      </c>
      <c r="AL16" s="9">
        <f t="shared" si="54"/>
        <v>2.6285623937705047E-2</v>
      </c>
      <c r="AM16" s="9">
        <f t="shared" si="55"/>
        <v>7.3973059980412051E-2</v>
      </c>
      <c r="AN16" s="2">
        <f t="shared" si="56"/>
        <v>0.23526402009741273</v>
      </c>
      <c r="AO16" s="7">
        <f t="shared" si="57"/>
        <v>0.4439160089770785</v>
      </c>
      <c r="AP16" s="4">
        <f t="shared" si="28"/>
        <v>-8.601622990013766</v>
      </c>
      <c r="AQ16" s="4">
        <f t="shared" si="29"/>
        <v>-0.56474961386095179</v>
      </c>
      <c r="AR16" s="6">
        <f t="shared" si="58"/>
        <v>0.30294175000329393</v>
      </c>
      <c r="AS16" s="2">
        <f t="shared" si="59"/>
        <v>0.961090836236835</v>
      </c>
      <c r="AT16" s="2">
        <f t="shared" si="60"/>
        <v>0.95514572582356905</v>
      </c>
      <c r="AU16" s="2">
        <f t="shared" si="61"/>
        <v>0.91389504776125752</v>
      </c>
      <c r="AV16" s="2">
        <f t="shared" si="62"/>
        <v>0.99937789508893293</v>
      </c>
      <c r="AW16" s="2">
        <f t="shared" si="63"/>
        <v>1.0028486207441853</v>
      </c>
      <c r="AX16" s="2">
        <f t="shared" si="64"/>
        <v>1.1114257374519683</v>
      </c>
      <c r="AY16" s="2">
        <f t="shared" si="65"/>
        <v>0.96694286006373031</v>
      </c>
    </row>
    <row r="17" spans="1:51" x14ac:dyDescent="0.5">
      <c r="A17" t="s">
        <v>102</v>
      </c>
      <c r="B17">
        <v>55</v>
      </c>
      <c r="C17">
        <v>50</v>
      </c>
      <c r="D17">
        <v>50</v>
      </c>
      <c r="E17">
        <v>50</v>
      </c>
      <c r="F17">
        <v>50</v>
      </c>
      <c r="G17">
        <v>50</v>
      </c>
      <c r="H17">
        <v>100000</v>
      </c>
      <c r="I17">
        <v>49993</v>
      </c>
      <c r="J17">
        <f t="shared" si="10"/>
        <v>50007</v>
      </c>
      <c r="K17">
        <v>436505</v>
      </c>
      <c r="L17">
        <v>435688</v>
      </c>
      <c r="M17">
        <v>416343</v>
      </c>
      <c r="N17">
        <v>53981</v>
      </c>
      <c r="O17">
        <v>111641</v>
      </c>
      <c r="P17">
        <v>22861</v>
      </c>
      <c r="Q17">
        <v>1766</v>
      </c>
      <c r="R17">
        <v>12162</v>
      </c>
      <c r="S17">
        <v>46077</v>
      </c>
      <c r="T17">
        <v>174520</v>
      </c>
      <c r="U17">
        <v>33620</v>
      </c>
      <c r="V17">
        <v>85754</v>
      </c>
      <c r="W17">
        <v>3441</v>
      </c>
      <c r="X17">
        <v>2618</v>
      </c>
      <c r="Y17" s="6">
        <v>0.26800000000000002</v>
      </c>
      <c r="Z17" s="6">
        <v>0.32300000000000001</v>
      </c>
      <c r="AA17" s="6">
        <v>0.41899999999999998</v>
      </c>
      <c r="AB17" s="6">
        <v>0.74299999999999999</v>
      </c>
      <c r="AC17" s="9">
        <f t="shared" si="11"/>
        <v>0.49992999999999999</v>
      </c>
      <c r="AD17" s="6">
        <f t="shared" si="46"/>
        <v>4.3650500000000001</v>
      </c>
      <c r="AE17" s="12">
        <f t="shared" si="47"/>
        <v>-0.11286000000000196</v>
      </c>
      <c r="AF17" s="4">
        <f t="shared" si="48"/>
        <v>-1.5773400000000457</v>
      </c>
      <c r="AG17" s="6">
        <f t="shared" si="49"/>
        <v>4.3568800000000003</v>
      </c>
      <c r="AH17">
        <f t="shared" si="50"/>
        <v>458962</v>
      </c>
      <c r="AI17" s="2">
        <f t="shared" si="51"/>
        <v>0.1630897547073614</v>
      </c>
      <c r="AJ17" s="9">
        <f t="shared" si="52"/>
        <v>4.9810223940108332E-2</v>
      </c>
      <c r="AK17" s="9">
        <f t="shared" si="53"/>
        <v>3.8478131087105252E-3</v>
      </c>
      <c r="AL17" s="9">
        <f t="shared" si="54"/>
        <v>2.6498925836997398E-2</v>
      </c>
      <c r="AM17" s="9">
        <f t="shared" si="55"/>
        <v>7.3252251820412145E-2</v>
      </c>
      <c r="AN17" s="2">
        <f t="shared" si="56"/>
        <v>0.18684335522330825</v>
      </c>
      <c r="AO17" s="7">
        <f t="shared" si="57"/>
        <v>0.476657675363102</v>
      </c>
      <c r="AP17" s="4">
        <f t="shared" si="28"/>
        <v>-0.45280349692757227</v>
      </c>
      <c r="AQ17" s="4">
        <f t="shared" si="29"/>
        <v>0.22618555272574128</v>
      </c>
      <c r="AR17" s="6">
        <f t="shared" si="58"/>
        <v>0.31896257206478973</v>
      </c>
      <c r="AS17" s="2">
        <f t="shared" si="59"/>
        <v>1.0371756394643148</v>
      </c>
      <c r="AT17" s="2">
        <f t="shared" si="60"/>
        <v>1.0350802292058303</v>
      </c>
      <c r="AU17" s="2">
        <f t="shared" si="61"/>
        <v>1.0128713433599841</v>
      </c>
      <c r="AV17" s="2">
        <f t="shared" si="62"/>
        <v>1.0074876209085846</v>
      </c>
      <c r="AW17" s="2">
        <f t="shared" si="63"/>
        <v>0.99307666499071967</v>
      </c>
      <c r="AX17" s="2">
        <f t="shared" si="64"/>
        <v>0.88267859140161464</v>
      </c>
      <c r="AY17" s="2">
        <f t="shared" si="65"/>
        <v>1.0382611272546503</v>
      </c>
    </row>
    <row r="18" spans="1:51" x14ac:dyDescent="0.5">
      <c r="A18" t="s">
        <v>103</v>
      </c>
      <c r="B18">
        <v>60</v>
      </c>
      <c r="C18">
        <v>50</v>
      </c>
      <c r="D18">
        <v>50</v>
      </c>
      <c r="E18">
        <v>50</v>
      </c>
      <c r="F18">
        <v>50</v>
      </c>
      <c r="G18">
        <v>50</v>
      </c>
      <c r="H18">
        <v>100000</v>
      </c>
      <c r="I18">
        <v>50247</v>
      </c>
      <c r="J18">
        <f t="shared" si="10"/>
        <v>49753</v>
      </c>
      <c r="K18">
        <v>439463</v>
      </c>
      <c r="L18">
        <v>435915</v>
      </c>
      <c r="M18">
        <v>417529</v>
      </c>
      <c r="N18">
        <v>54564</v>
      </c>
      <c r="O18">
        <v>114617</v>
      </c>
      <c r="P18">
        <v>23537</v>
      </c>
      <c r="Q18">
        <v>1865</v>
      </c>
      <c r="R18">
        <v>12187</v>
      </c>
      <c r="S18">
        <v>46814</v>
      </c>
      <c r="T18">
        <v>178445</v>
      </c>
      <c r="U18">
        <v>33465</v>
      </c>
      <c r="V18">
        <v>77091</v>
      </c>
      <c r="W18">
        <v>3438</v>
      </c>
      <c r="X18">
        <v>2684</v>
      </c>
      <c r="Y18" s="6">
        <v>0.27500000000000002</v>
      </c>
      <c r="Z18" s="6">
        <v>0.32900000000000001</v>
      </c>
      <c r="AA18" s="6">
        <v>0.42699999999999999</v>
      </c>
      <c r="AB18" s="6">
        <v>0.75600000000000001</v>
      </c>
      <c r="AC18" s="9">
        <f t="shared" si="11"/>
        <v>0.50246999999999997</v>
      </c>
      <c r="AD18" s="6">
        <f t="shared" si="46"/>
        <v>4.3946300000000003</v>
      </c>
      <c r="AE18" s="12">
        <f t="shared" si="47"/>
        <v>0.29861999999999589</v>
      </c>
      <c r="AF18" s="4">
        <f t="shared" si="48"/>
        <v>3.2146199999999805</v>
      </c>
      <c r="AG18" s="6">
        <f t="shared" si="49"/>
        <v>4.3591499999999996</v>
      </c>
      <c r="AH18">
        <f t="shared" si="50"/>
        <v>460014</v>
      </c>
      <c r="AI18" s="2">
        <f t="shared" si="51"/>
        <v>0.16744707769763528</v>
      </c>
      <c r="AJ18" s="9">
        <f t="shared" si="52"/>
        <v>5.1165834083310505E-2</v>
      </c>
      <c r="AK18" s="9">
        <f t="shared" si="53"/>
        <v>4.0542244366475804E-3</v>
      </c>
      <c r="AL18" s="9">
        <f t="shared" si="54"/>
        <v>2.6492671962157672E-2</v>
      </c>
      <c r="AM18" s="9">
        <f t="shared" si="55"/>
        <v>7.2747785936949749E-2</v>
      </c>
      <c r="AN18" s="2">
        <f t="shared" si="56"/>
        <v>0.1675840300512593</v>
      </c>
      <c r="AO18" s="7">
        <f t="shared" si="57"/>
        <v>0.49050837583203988</v>
      </c>
      <c r="AP18" s="4">
        <f t="shared" si="28"/>
        <v>2.6453394423992904</v>
      </c>
      <c r="AQ18" s="4">
        <f t="shared" si="29"/>
        <v>0.52689539221904813</v>
      </c>
      <c r="AR18" s="6">
        <f t="shared" si="58"/>
        <v>0.3245117105131583</v>
      </c>
      <c r="AS18" s="2">
        <f t="shared" si="59"/>
        <v>1.0648862045264738</v>
      </c>
      <c r="AT18" s="2">
        <f t="shared" si="60"/>
        <v>1.0632504550499584</v>
      </c>
      <c r="AU18" s="2">
        <f t="shared" si="61"/>
        <v>1.0672056140497541</v>
      </c>
      <c r="AV18" s="2">
        <f t="shared" si="62"/>
        <v>1.0072498489504875</v>
      </c>
      <c r="AW18" s="2">
        <f t="shared" si="63"/>
        <v>0.98623764933317182</v>
      </c>
      <c r="AX18" s="2">
        <f t="shared" si="64"/>
        <v>0.79169438704555228</v>
      </c>
      <c r="AY18" s="2">
        <f t="shared" si="65"/>
        <v>1.0684308793124373</v>
      </c>
    </row>
    <row r="19" spans="1:51" x14ac:dyDescent="0.5">
      <c r="A19" t="s">
        <v>104</v>
      </c>
      <c r="B19">
        <v>65</v>
      </c>
      <c r="C19">
        <v>50</v>
      </c>
      <c r="D19">
        <v>50</v>
      </c>
      <c r="E19">
        <v>50</v>
      </c>
      <c r="F19">
        <v>50</v>
      </c>
      <c r="G19">
        <v>50</v>
      </c>
      <c r="H19">
        <v>100000</v>
      </c>
      <c r="I19">
        <v>50630</v>
      </c>
      <c r="J19">
        <f t="shared" si="10"/>
        <v>49370</v>
      </c>
      <c r="K19">
        <v>439484</v>
      </c>
      <c r="L19">
        <v>435042</v>
      </c>
      <c r="M19">
        <v>418192</v>
      </c>
      <c r="N19">
        <v>55143</v>
      </c>
      <c r="O19">
        <v>117247</v>
      </c>
      <c r="P19">
        <v>24135</v>
      </c>
      <c r="Q19">
        <v>1865</v>
      </c>
      <c r="R19">
        <v>12167</v>
      </c>
      <c r="S19">
        <v>47226</v>
      </c>
      <c r="T19">
        <v>181613</v>
      </c>
      <c r="U19">
        <v>33135</v>
      </c>
      <c r="V19">
        <v>69074</v>
      </c>
      <c r="W19">
        <v>3507</v>
      </c>
      <c r="X19">
        <v>2739</v>
      </c>
      <c r="Y19" s="6">
        <v>0.28000000000000003</v>
      </c>
      <c r="Z19" s="6">
        <v>0.33400000000000002</v>
      </c>
      <c r="AA19" s="6">
        <v>0.434</v>
      </c>
      <c r="AB19" s="6">
        <v>0.76800000000000002</v>
      </c>
      <c r="AC19" s="9">
        <f t="shared" si="11"/>
        <v>0.50629999999999997</v>
      </c>
      <c r="AD19" s="6">
        <f t="shared" si="46"/>
        <v>4.3948400000000003</v>
      </c>
      <c r="AE19" s="12">
        <f t="shared" si="47"/>
        <v>0.9190799999999959</v>
      </c>
      <c r="AF19" s="4">
        <f t="shared" si="48"/>
        <v>3.2486399999999875</v>
      </c>
      <c r="AG19" s="6">
        <f t="shared" si="49"/>
        <v>4.3504199999999997</v>
      </c>
      <c r="AH19">
        <f t="shared" si="50"/>
        <v>460354</v>
      </c>
      <c r="AI19" s="2">
        <f t="shared" si="51"/>
        <v>0.17178084691346224</v>
      </c>
      <c r="AJ19" s="9">
        <f t="shared" si="52"/>
        <v>5.2427045273854465E-2</v>
      </c>
      <c r="AK19" s="9">
        <f t="shared" si="53"/>
        <v>4.0512301402833469E-3</v>
      </c>
      <c r="AL19" s="9">
        <f t="shared" si="54"/>
        <v>2.6429660652454414E-2</v>
      </c>
      <c r="AM19" s="9">
        <f t="shared" si="55"/>
        <v>7.1977217532594479E-2</v>
      </c>
      <c r="AN19" s="2">
        <f t="shared" si="56"/>
        <v>0.15004539984446752</v>
      </c>
      <c r="AO19" s="7">
        <f t="shared" si="57"/>
        <v>0.50328859964288353</v>
      </c>
      <c r="AP19" s="4">
        <f t="shared" si="28"/>
        <v>4.787729884804321</v>
      </c>
      <c r="AQ19" s="4">
        <f t="shared" si="29"/>
        <v>0.7348386339235724</v>
      </c>
      <c r="AR19" s="6">
        <f t="shared" si="58"/>
        <v>0.3292936522762917</v>
      </c>
      <c r="AS19" s="2">
        <f t="shared" si="59"/>
        <v>1.0924469784437651</v>
      </c>
      <c r="AT19" s="2">
        <f t="shared" si="60"/>
        <v>1.0894590255987453</v>
      </c>
      <c r="AU19" s="2">
        <f t="shared" si="61"/>
        <v>1.0664174164696811</v>
      </c>
      <c r="AV19" s="2">
        <f t="shared" si="62"/>
        <v>1.004854162616114</v>
      </c>
      <c r="AW19" s="2">
        <f t="shared" si="63"/>
        <v>0.97579109674089892</v>
      </c>
      <c r="AX19" s="2">
        <f t="shared" si="64"/>
        <v>0.70883902733772386</v>
      </c>
      <c r="AY19" s="2">
        <f t="shared" si="65"/>
        <v>1.0962689070339151</v>
      </c>
    </row>
    <row r="20" spans="1:51" x14ac:dyDescent="0.5">
      <c r="A20" t="s">
        <v>105</v>
      </c>
      <c r="B20">
        <v>70</v>
      </c>
      <c r="C20">
        <v>50</v>
      </c>
      <c r="D20">
        <v>50</v>
      </c>
      <c r="E20">
        <v>50</v>
      </c>
      <c r="F20">
        <v>50</v>
      </c>
      <c r="G20">
        <v>50</v>
      </c>
      <c r="H20">
        <v>100000</v>
      </c>
      <c r="I20">
        <v>50979</v>
      </c>
      <c r="J20">
        <f t="shared" si="10"/>
        <v>49021</v>
      </c>
      <c r="K20">
        <v>444668</v>
      </c>
      <c r="L20">
        <v>434770</v>
      </c>
      <c r="M20">
        <v>418853</v>
      </c>
      <c r="N20">
        <v>56883</v>
      </c>
      <c r="O20">
        <v>120853</v>
      </c>
      <c r="P20">
        <v>24988</v>
      </c>
      <c r="Q20">
        <v>1960</v>
      </c>
      <c r="R20">
        <v>12320</v>
      </c>
      <c r="S20">
        <v>48950</v>
      </c>
      <c r="T20">
        <v>186721</v>
      </c>
      <c r="U20">
        <v>33675</v>
      </c>
      <c r="V20">
        <v>60039</v>
      </c>
      <c r="W20">
        <v>3650</v>
      </c>
      <c r="X20">
        <v>2838</v>
      </c>
      <c r="Y20" s="6">
        <v>0.28899999999999998</v>
      </c>
      <c r="Z20" s="6">
        <v>0.34200000000000003</v>
      </c>
      <c r="AA20" s="6">
        <v>0.44600000000000001</v>
      </c>
      <c r="AB20" s="6">
        <v>0.78800000000000003</v>
      </c>
      <c r="AC20" s="9">
        <f t="shared" si="11"/>
        <v>0.50978999999999997</v>
      </c>
      <c r="AD20" s="6">
        <f t="shared" si="46"/>
        <v>4.4466799999999997</v>
      </c>
      <c r="AE20" s="12">
        <f t="shared" si="47"/>
        <v>1.4844599999999948</v>
      </c>
      <c r="AF20" s="4">
        <f t="shared" si="48"/>
        <v>11.646719999999897</v>
      </c>
      <c r="AG20" s="6">
        <f t="shared" si="49"/>
        <v>4.3476999999999997</v>
      </c>
      <c r="AH20">
        <f t="shared" si="50"/>
        <v>461579</v>
      </c>
      <c r="AI20" s="2">
        <f t="shared" si="51"/>
        <v>0.17675197528483749</v>
      </c>
      <c r="AJ20" s="9">
        <f t="shared" si="52"/>
        <v>5.413591172908646E-2</v>
      </c>
      <c r="AK20" s="9">
        <f t="shared" si="53"/>
        <v>4.2462937005366365E-3</v>
      </c>
      <c r="AL20" s="9">
        <f t="shared" si="54"/>
        <v>2.6690988974801714E-2</v>
      </c>
      <c r="AM20" s="9">
        <f t="shared" si="55"/>
        <v>7.2956092023250624E-2</v>
      </c>
      <c r="AN20" s="2">
        <f t="shared" si="56"/>
        <v>0.13007307524822403</v>
      </c>
      <c r="AO20" s="7">
        <f t="shared" si="57"/>
        <v>0.51514566303926301</v>
      </c>
      <c r="AP20" s="4">
        <f t="shared" si="28"/>
        <v>8.9198924918796365</v>
      </c>
      <c r="AQ20" s="4">
        <f t="shared" si="29"/>
        <v>1.1359117860241144</v>
      </c>
      <c r="AR20" s="6">
        <f t="shared" si="58"/>
        <v>0.33740534123086191</v>
      </c>
      <c r="AS20" s="2">
        <f t="shared" si="59"/>
        <v>1.1240610627048631</v>
      </c>
      <c r="AT20" s="2">
        <f t="shared" si="60"/>
        <v>1.1249700862253851</v>
      </c>
      <c r="AU20" s="2">
        <f t="shared" si="61"/>
        <v>1.1177645803605338</v>
      </c>
      <c r="AV20" s="2">
        <f t="shared" si="62"/>
        <v>1.0147898502502941</v>
      </c>
      <c r="AW20" s="2">
        <f t="shared" si="63"/>
        <v>0.9890616432492646</v>
      </c>
      <c r="AX20" s="2">
        <f t="shared" si="64"/>
        <v>0.61448649700257585</v>
      </c>
      <c r="AY20" s="2">
        <f t="shared" si="65"/>
        <v>1.1220960963233291</v>
      </c>
    </row>
    <row r="21" spans="1:51" x14ac:dyDescent="0.5">
      <c r="A21" t="s">
        <v>106</v>
      </c>
      <c r="B21">
        <v>75</v>
      </c>
      <c r="C21">
        <v>50</v>
      </c>
      <c r="D21">
        <v>50</v>
      </c>
      <c r="E21">
        <v>50</v>
      </c>
      <c r="F21">
        <v>50</v>
      </c>
      <c r="G21">
        <v>50</v>
      </c>
      <c r="H21">
        <v>100000</v>
      </c>
      <c r="I21">
        <v>51362</v>
      </c>
      <c r="J21">
        <f t="shared" si="10"/>
        <v>48638</v>
      </c>
      <c r="K21">
        <v>448469</v>
      </c>
      <c r="L21">
        <v>434705</v>
      </c>
      <c r="M21">
        <v>420231</v>
      </c>
      <c r="N21">
        <v>58482</v>
      </c>
      <c r="O21">
        <v>123822</v>
      </c>
      <c r="P21">
        <v>25539</v>
      </c>
      <c r="Q21">
        <v>2004</v>
      </c>
      <c r="R21">
        <v>12546</v>
      </c>
      <c r="S21">
        <v>50479</v>
      </c>
      <c r="T21">
        <v>191007</v>
      </c>
      <c r="U21">
        <v>36282</v>
      </c>
      <c r="V21">
        <v>52335</v>
      </c>
      <c r="W21">
        <v>3700</v>
      </c>
      <c r="X21">
        <v>2998</v>
      </c>
      <c r="Y21" s="6">
        <v>0.29499999999999998</v>
      </c>
      <c r="Z21" s="6">
        <v>0.35099999999999998</v>
      </c>
      <c r="AA21" s="6">
        <v>0.45500000000000002</v>
      </c>
      <c r="AB21" s="6">
        <v>0.80500000000000005</v>
      </c>
      <c r="AC21" s="9">
        <f t="shared" si="11"/>
        <v>0.51361999999999997</v>
      </c>
      <c r="AD21" s="6">
        <f t="shared" si="46"/>
        <v>4.4846899999999996</v>
      </c>
      <c r="AE21" s="12">
        <f t="shared" si="47"/>
        <v>2.1049199999999946</v>
      </c>
      <c r="AF21" s="4">
        <f t="shared" si="48"/>
        <v>17.804339999999875</v>
      </c>
      <c r="AG21" s="6">
        <f t="shared" si="49"/>
        <v>4.3470500000000003</v>
      </c>
      <c r="AH21">
        <f t="shared" si="50"/>
        <v>465643</v>
      </c>
      <c r="AI21" s="2">
        <f t="shared" si="51"/>
        <v>0.17982231022478595</v>
      </c>
      <c r="AJ21" s="9">
        <f t="shared" si="52"/>
        <v>5.4846738810633899E-2</v>
      </c>
      <c r="AK21" s="9">
        <f t="shared" si="53"/>
        <v>4.303726245213608E-3</v>
      </c>
      <c r="AL21" s="9">
        <f t="shared" si="54"/>
        <v>2.6943387960304353E-2</v>
      </c>
      <c r="AM21" s="9">
        <f t="shared" si="55"/>
        <v>7.7918061691037988E-2</v>
      </c>
      <c r="AN21" s="2">
        <f t="shared" si="56"/>
        <v>0.11239297058046616</v>
      </c>
      <c r="AO21" s="7">
        <f t="shared" si="57"/>
        <v>0.52377280448755803</v>
      </c>
      <c r="AP21" s="4">
        <f t="shared" si="28"/>
        <v>12.946136235123504</v>
      </c>
      <c r="AQ21" s="4">
        <f t="shared" si="29"/>
        <v>1.5267043135163583</v>
      </c>
      <c r="AR21" s="6">
        <f t="shared" si="58"/>
        <v>0.34520445921016746</v>
      </c>
      <c r="AS21" s="2">
        <f t="shared" si="59"/>
        <v>1.1435869771954743</v>
      </c>
      <c r="AT21" s="2">
        <f t="shared" si="60"/>
        <v>1.1397414122764085</v>
      </c>
      <c r="AU21" s="2">
        <f t="shared" si="61"/>
        <v>1.1328827207265144</v>
      </c>
      <c r="AV21" s="2">
        <f t="shared" si="62"/>
        <v>1.0243860450163764</v>
      </c>
      <c r="AW21" s="2">
        <f t="shared" si="63"/>
        <v>1.0563307874327377</v>
      </c>
      <c r="AX21" s="2">
        <f t="shared" si="64"/>
        <v>0.53096278878550762</v>
      </c>
      <c r="AY21" s="2">
        <f t="shared" si="65"/>
        <v>1.1408878331778101</v>
      </c>
    </row>
    <row r="22" spans="1:51" x14ac:dyDescent="0.5">
      <c r="A22" t="s">
        <v>107</v>
      </c>
      <c r="B22">
        <v>80</v>
      </c>
      <c r="C22">
        <v>50</v>
      </c>
      <c r="D22">
        <v>50</v>
      </c>
      <c r="E22">
        <v>50</v>
      </c>
      <c r="F22">
        <v>50</v>
      </c>
      <c r="G22">
        <v>50</v>
      </c>
      <c r="H22">
        <v>100000</v>
      </c>
      <c r="I22">
        <v>51525</v>
      </c>
      <c r="J22">
        <f t="shared" si="10"/>
        <v>48475</v>
      </c>
      <c r="K22">
        <v>448791</v>
      </c>
      <c r="L22">
        <v>433849</v>
      </c>
      <c r="M22">
        <v>420782</v>
      </c>
      <c r="N22">
        <v>59435</v>
      </c>
      <c r="O22">
        <v>127028</v>
      </c>
      <c r="P22">
        <v>26425</v>
      </c>
      <c r="Q22">
        <v>2037</v>
      </c>
      <c r="R22">
        <v>12447</v>
      </c>
      <c r="S22">
        <v>51008</v>
      </c>
      <c r="T22">
        <v>194868</v>
      </c>
      <c r="U22">
        <v>36088</v>
      </c>
      <c r="V22">
        <v>42974</v>
      </c>
      <c r="W22">
        <v>3798</v>
      </c>
      <c r="X22">
        <v>3025</v>
      </c>
      <c r="Y22" s="6">
        <v>0.30199999999999999</v>
      </c>
      <c r="Z22" s="6">
        <v>0.35699999999999998</v>
      </c>
      <c r="AA22" s="6">
        <v>0.46300000000000002</v>
      </c>
      <c r="AB22" s="6">
        <v>0.82</v>
      </c>
      <c r="AC22" s="9">
        <f t="shared" si="11"/>
        <v>0.51524999999999999</v>
      </c>
      <c r="AD22" s="6">
        <f t="shared" si="46"/>
        <v>4.4879100000000003</v>
      </c>
      <c r="AE22" s="12">
        <f t="shared" si="47"/>
        <v>2.3689799999999979</v>
      </c>
      <c r="AF22" s="4">
        <f t="shared" si="48"/>
        <v>18.325979999999987</v>
      </c>
      <c r="AG22" s="6">
        <f t="shared" si="49"/>
        <v>4.3384900000000002</v>
      </c>
      <c r="AH22">
        <f t="shared" si="50"/>
        <v>466007</v>
      </c>
      <c r="AI22" s="2">
        <f t="shared" si="51"/>
        <v>0.18480194503516043</v>
      </c>
      <c r="AJ22" s="9">
        <f t="shared" si="52"/>
        <v>5.6705156789490285E-2</v>
      </c>
      <c r="AK22" s="9">
        <f t="shared" si="53"/>
        <v>4.3711789737064036E-3</v>
      </c>
      <c r="AL22" s="9">
        <f t="shared" si="54"/>
        <v>2.6709899207522633E-2</v>
      </c>
      <c r="AM22" s="9">
        <f t="shared" si="55"/>
        <v>7.7440896810562931E-2</v>
      </c>
      <c r="AN22" s="2">
        <f t="shared" si="56"/>
        <v>9.2217498878772203E-2</v>
      </c>
      <c r="AO22" s="7">
        <f t="shared" si="57"/>
        <v>0.53775342430478512</v>
      </c>
      <c r="AP22" s="4">
        <f t="shared" si="28"/>
        <v>15.687042627290339</v>
      </c>
      <c r="AQ22" s="4">
        <f t="shared" si="29"/>
        <v>1.7927403026220599</v>
      </c>
      <c r="AR22" s="6">
        <f t="shared" si="58"/>
        <v>0.35129693330786882</v>
      </c>
      <c r="AS22" s="2">
        <f t="shared" si="59"/>
        <v>1.1752551584862994</v>
      </c>
      <c r="AT22" s="2">
        <f t="shared" si="60"/>
        <v>1.1783602249488399</v>
      </c>
      <c r="AU22" s="2">
        <f t="shared" si="61"/>
        <v>1.1506385040225202</v>
      </c>
      <c r="AV22" s="2">
        <f t="shared" si="62"/>
        <v>1.0155088161997829</v>
      </c>
      <c r="AW22" s="2">
        <f t="shared" si="63"/>
        <v>1.0498618899398033</v>
      </c>
      <c r="AX22" s="2">
        <f t="shared" si="64"/>
        <v>0.4356505582743912</v>
      </c>
      <c r="AY22" s="2">
        <f t="shared" si="65"/>
        <v>1.1713405770260981</v>
      </c>
    </row>
    <row r="23" spans="1:51" x14ac:dyDescent="0.5">
      <c r="A23" t="s">
        <v>35</v>
      </c>
      <c r="B23">
        <v>50</v>
      </c>
      <c r="C23">
        <v>20</v>
      </c>
      <c r="D23">
        <v>50</v>
      </c>
      <c r="E23">
        <v>50</v>
      </c>
      <c r="F23">
        <v>50</v>
      </c>
      <c r="G23">
        <v>50</v>
      </c>
      <c r="H23">
        <v>100000</v>
      </c>
      <c r="I23">
        <v>48007</v>
      </c>
      <c r="J23">
        <f t="shared" si="10"/>
        <v>51993</v>
      </c>
      <c r="K23">
        <v>418455</v>
      </c>
      <c r="L23">
        <v>437707</v>
      </c>
      <c r="M23">
        <v>388004</v>
      </c>
      <c r="N23">
        <v>41908</v>
      </c>
      <c r="O23">
        <v>72448</v>
      </c>
      <c r="P23">
        <v>14005</v>
      </c>
      <c r="Q23">
        <v>995</v>
      </c>
      <c r="R23">
        <v>11397</v>
      </c>
      <c r="S23">
        <v>35258</v>
      </c>
      <c r="T23">
        <v>122634</v>
      </c>
      <c r="U23">
        <v>31651</v>
      </c>
      <c r="V23">
        <v>89324</v>
      </c>
      <c r="W23">
        <v>2582</v>
      </c>
      <c r="X23">
        <v>2093</v>
      </c>
      <c r="Y23" s="6">
        <v>0.187</v>
      </c>
      <c r="Z23" s="6">
        <v>0.249</v>
      </c>
      <c r="AA23" s="6">
        <v>0.316</v>
      </c>
      <c r="AB23" s="6">
        <v>0.56499999999999995</v>
      </c>
      <c r="AC23" s="9">
        <f t="shared" si="11"/>
        <v>0.48007</v>
      </c>
      <c r="AD23" s="6">
        <f t="shared" si="12"/>
        <v>4.1845499999999998</v>
      </c>
      <c r="AE23" s="12">
        <f t="shared" ref="AE23:AE53" si="66">(AC23-$AC$7)*162</f>
        <v>-3.3301800000000004</v>
      </c>
      <c r="AF23" s="4">
        <f t="shared" ref="AF23:AF53" si="67">(AD23-$AD$7)*162</f>
        <v>-30.818340000000099</v>
      </c>
      <c r="AG23" s="6">
        <f t="shared" si="13"/>
        <v>4.3770699999999998</v>
      </c>
      <c r="AH23">
        <f t="shared" ref="AH23" si="68">ROUND((M23+U23)*1.02,0)</f>
        <v>428048</v>
      </c>
      <c r="AI23" s="2">
        <f t="shared" ref="AI23:AI28" si="69">(O23-SUM(P23:R23))/$AH23</f>
        <v>0.10758372892759691</v>
      </c>
      <c r="AJ23" s="9">
        <f t="shared" ref="AJ23" si="70">P23/$AH23</f>
        <v>3.2718293275520505E-2</v>
      </c>
      <c r="AK23" s="9">
        <f t="shared" ref="AK23" si="71">Q23/$AH23</f>
        <v>2.3245056629163084E-3</v>
      </c>
      <c r="AL23" s="9">
        <f t="shared" ref="AL23" si="72">R23/$AH23</f>
        <v>2.662551863342429E-2</v>
      </c>
      <c r="AM23" s="9">
        <f t="shared" ref="AM23" si="73">U23/$AH23</f>
        <v>7.3942641946697571E-2</v>
      </c>
      <c r="AN23" s="2">
        <f t="shared" ref="AN23" si="74">V23/$AH23</f>
        <v>0.20867753149179533</v>
      </c>
      <c r="AO23" s="7">
        <f t="shared" si="15"/>
        <v>0.52812778006204908</v>
      </c>
      <c r="AP23" s="4">
        <f t="shared" si="28"/>
        <v>-27.036956030821329</v>
      </c>
      <c r="AQ23" s="4">
        <f t="shared" si="29"/>
        <v>-2.3541073511483677</v>
      </c>
      <c r="AR23" s="6">
        <f t="shared" si="16"/>
        <v>0.24618073206743171</v>
      </c>
      <c r="AS23" s="2">
        <f t="shared" si="45"/>
        <v>0.68418290926155456</v>
      </c>
      <c r="AT23" s="2">
        <f t="shared" ref="AT23:AT58" si="75">AJ23/AJ$7</f>
        <v>0.67990175156750521</v>
      </c>
      <c r="AU23" s="2">
        <f t="shared" ref="AU23:AU58" si="76">AK23/AK$7</f>
        <v>0.61188657217162612</v>
      </c>
      <c r="AV23" s="2">
        <f t="shared" ref="AV23:AV58" si="77">AL23/AL$7</f>
        <v>1.0123006716745226</v>
      </c>
      <c r="AW23" s="2">
        <f t="shared" ref="AW23:AW58" si="78">AM23/AM$7</f>
        <v>1.0024362451690181</v>
      </c>
      <c r="AX23" s="2">
        <f t="shared" ref="AX23:AX58" si="79">AN23/AN$7</f>
        <v>0.98582681377242842</v>
      </c>
      <c r="AY23" s="2">
        <f t="shared" ref="AY23:AY58" si="80">AO23/AO$7</f>
        <v>1.1503738901172964</v>
      </c>
    </row>
    <row r="24" spans="1:51" x14ac:dyDescent="0.5">
      <c r="A24" t="s">
        <v>36</v>
      </c>
      <c r="B24">
        <v>50</v>
      </c>
      <c r="C24">
        <v>25</v>
      </c>
      <c r="D24">
        <v>50</v>
      </c>
      <c r="E24">
        <v>50</v>
      </c>
      <c r="F24">
        <v>50</v>
      </c>
      <c r="G24">
        <v>50</v>
      </c>
      <c r="H24">
        <v>100000</v>
      </c>
      <c r="I24">
        <v>48724</v>
      </c>
      <c r="J24">
        <f t="shared" si="10"/>
        <v>51276</v>
      </c>
      <c r="K24">
        <v>423773</v>
      </c>
      <c r="L24">
        <v>436716</v>
      </c>
      <c r="M24">
        <v>404420</v>
      </c>
      <c r="N24">
        <v>46594</v>
      </c>
      <c r="O24">
        <v>87357</v>
      </c>
      <c r="P24">
        <v>16999</v>
      </c>
      <c r="Q24">
        <v>1331</v>
      </c>
      <c r="R24">
        <v>11644</v>
      </c>
      <c r="S24">
        <v>39277</v>
      </c>
      <c r="T24">
        <v>141950</v>
      </c>
      <c r="U24">
        <v>32530</v>
      </c>
      <c r="V24">
        <v>93187</v>
      </c>
      <c r="W24">
        <v>2816</v>
      </c>
      <c r="X24">
        <v>2319</v>
      </c>
      <c r="Y24" s="6">
        <v>0.216</v>
      </c>
      <c r="Z24" s="6">
        <v>0.27500000000000002</v>
      </c>
      <c r="AA24" s="6">
        <v>0.35099999999999998</v>
      </c>
      <c r="AB24" s="6">
        <v>0.626</v>
      </c>
      <c r="AC24" s="9">
        <f t="shared" si="11"/>
        <v>0.48724000000000001</v>
      </c>
      <c r="AD24" s="6">
        <f t="shared" si="12"/>
        <v>4.23773</v>
      </c>
      <c r="AE24" s="12">
        <f t="shared" si="66"/>
        <v>-2.1686399999999986</v>
      </c>
      <c r="AF24" s="4">
        <f t="shared" si="67"/>
        <v>-22.20318000000006</v>
      </c>
      <c r="AG24" s="6">
        <f t="shared" si="13"/>
        <v>4.3671600000000002</v>
      </c>
      <c r="AH24">
        <f t="shared" ref="AH24" si="81">ROUND((M24+U24)*1.02,0)</f>
        <v>445689</v>
      </c>
      <c r="AI24" s="2">
        <f t="shared" si="69"/>
        <v>0.12875121441184323</v>
      </c>
      <c r="AJ24" s="9">
        <f t="shared" ref="AJ24" si="82">P24/$AH24</f>
        <v>3.8140945816477409E-2</v>
      </c>
      <c r="AK24" s="9">
        <f t="shared" ref="AK24" si="83">Q24/$AH24</f>
        <v>2.9863873687706001E-3</v>
      </c>
      <c r="AL24" s="9">
        <f t="shared" ref="AL24" si="84">R24/$AH24</f>
        <v>2.612584111342214E-2</v>
      </c>
      <c r="AM24" s="9">
        <f t="shared" ref="AM24" si="85">U24/$AH24</f>
        <v>7.2988115030884759E-2</v>
      </c>
      <c r="AN24" s="2">
        <f t="shared" ref="AN24" si="86">V24/$AH24</f>
        <v>0.20908525900347552</v>
      </c>
      <c r="AO24" s="7">
        <f t="shared" si="15"/>
        <v>0.5019222372551263</v>
      </c>
      <c r="AP24" s="4">
        <f t="shared" si="28"/>
        <v>-18.017412298670479</v>
      </c>
      <c r="AQ24" s="4">
        <f t="shared" si="29"/>
        <v>-1.4786585416149891</v>
      </c>
      <c r="AR24" s="6">
        <f t="shared" si="16"/>
        <v>0.27132646307178321</v>
      </c>
      <c r="AS24" s="2">
        <f t="shared" si="45"/>
        <v>0.81879835664124101</v>
      </c>
      <c r="AT24" s="2">
        <f t="shared" si="75"/>
        <v>0.79258705974331589</v>
      </c>
      <c r="AU24" s="2">
        <f t="shared" si="76"/>
        <v>0.78611567156224027</v>
      </c>
      <c r="AV24" s="2">
        <f t="shared" si="77"/>
        <v>0.99330296139203256</v>
      </c>
      <c r="AW24" s="2">
        <f t="shared" si="78"/>
        <v>0.98949577736574534</v>
      </c>
      <c r="AX24" s="2">
        <f t="shared" si="79"/>
        <v>0.98775298527183986</v>
      </c>
      <c r="AY24" s="2">
        <f t="shared" si="80"/>
        <v>1.0932926810623718</v>
      </c>
    </row>
    <row r="25" spans="1:51" x14ac:dyDescent="0.5">
      <c r="A25" t="s">
        <v>51</v>
      </c>
      <c r="B25">
        <v>50</v>
      </c>
      <c r="C25">
        <v>30</v>
      </c>
      <c r="D25">
        <v>50</v>
      </c>
      <c r="E25">
        <v>50</v>
      </c>
      <c r="F25">
        <v>50</v>
      </c>
      <c r="G25">
        <v>50</v>
      </c>
      <c r="H25">
        <v>100000</v>
      </c>
      <c r="I25">
        <v>49327</v>
      </c>
      <c r="J25">
        <f t="shared" si="10"/>
        <v>50673</v>
      </c>
      <c r="K25">
        <v>427920</v>
      </c>
      <c r="L25">
        <v>435468</v>
      </c>
      <c r="M25">
        <v>404590</v>
      </c>
      <c r="N25">
        <v>47990</v>
      </c>
      <c r="O25">
        <v>91393</v>
      </c>
      <c r="P25">
        <v>17983</v>
      </c>
      <c r="Q25">
        <v>1342</v>
      </c>
      <c r="R25">
        <v>11683</v>
      </c>
      <c r="S25">
        <v>40510</v>
      </c>
      <c r="T25">
        <v>147109</v>
      </c>
      <c r="U25">
        <v>32894</v>
      </c>
      <c r="V25">
        <v>93394</v>
      </c>
      <c r="W25">
        <v>2968</v>
      </c>
      <c r="X25">
        <v>2353</v>
      </c>
      <c r="Y25" s="6">
        <v>0.22600000000000001</v>
      </c>
      <c r="Z25" s="6">
        <v>0.28499999999999998</v>
      </c>
      <c r="AA25" s="6">
        <v>0.36399999999999999</v>
      </c>
      <c r="AB25" s="6">
        <v>0.64900000000000002</v>
      </c>
      <c r="AC25" s="9">
        <f t="shared" si="11"/>
        <v>0.49326999999999999</v>
      </c>
      <c r="AD25" s="6">
        <f t="shared" si="12"/>
        <v>4.2792000000000003</v>
      </c>
      <c r="AE25" s="12">
        <f t="shared" ref="AE25:AE28" si="87">(AC25-$AC$7)*162</f>
        <v>-1.1917800000000018</v>
      </c>
      <c r="AF25" s="4">
        <f t="shared" ref="AF25:AF28" si="88">(AD25-$AD$7)*162</f>
        <v>-15.485040000000007</v>
      </c>
      <c r="AG25" s="6">
        <f t="shared" ref="AG25:AG28" si="89">L25/H25</f>
        <v>4.3546800000000001</v>
      </c>
      <c r="AH25">
        <f t="shared" ref="AH25" si="90">ROUND((M25+U25)*1.02,0)</f>
        <v>446234</v>
      </c>
      <c r="AI25" s="2">
        <f t="shared" si="69"/>
        <v>0.13532137846959219</v>
      </c>
      <c r="AJ25" s="9">
        <f t="shared" ref="AJ25" si="91">P25/$AH25</f>
        <v>4.0299484127161979E-2</v>
      </c>
      <c r="AK25" s="9">
        <f t="shared" ref="AK25" si="92">Q25/$AH25</f>
        <v>3.0073907411806364E-3</v>
      </c>
      <c r="AL25" s="9">
        <f t="shared" ref="AL25" si="93">R25/$AH25</f>
        <v>2.6181330871246924E-2</v>
      </c>
      <c r="AM25" s="9">
        <f t="shared" ref="AM25" si="94">U25/$AH25</f>
        <v>7.3714687809534912E-2</v>
      </c>
      <c r="AN25" s="2">
        <f t="shared" ref="AN25" si="95">V25/$AH25</f>
        <v>0.20929377860046522</v>
      </c>
      <c r="AO25" s="7">
        <f t="shared" ref="AO25" si="96">1-SUM(AI25:AN25)-0.02</f>
        <v>0.49218194938081816</v>
      </c>
      <c r="AP25" s="4">
        <f t="shared" si="28"/>
        <v>-15.170346797501679</v>
      </c>
      <c r="AQ25" s="4">
        <f t="shared" si="29"/>
        <v>-1.2023186093879061</v>
      </c>
      <c r="AR25" s="6">
        <f t="shared" ref="AR25" si="97">SUMPRODUCT($AI$1:$AN$1,AI25:AN25)</f>
        <v>0.28058030091835229</v>
      </c>
      <c r="AS25" s="2">
        <f t="shared" si="45"/>
        <v>0.86058157055439344</v>
      </c>
      <c r="AT25" s="2">
        <f t="shared" si="75"/>
        <v>0.83744251616646748</v>
      </c>
      <c r="AU25" s="2">
        <f t="shared" si="76"/>
        <v>0.7916444520479361</v>
      </c>
      <c r="AV25" s="2">
        <f t="shared" si="77"/>
        <v>0.99541267876093931</v>
      </c>
      <c r="AW25" s="2">
        <f t="shared" si="78"/>
        <v>0.99934588373058308</v>
      </c>
      <c r="AX25" s="2">
        <f t="shared" si="79"/>
        <v>0.98873806597717473</v>
      </c>
      <c r="AY25" s="2">
        <f t="shared" si="80"/>
        <v>1.0720762761015994</v>
      </c>
    </row>
    <row r="26" spans="1:51" x14ac:dyDescent="0.5">
      <c r="A26" t="s">
        <v>52</v>
      </c>
      <c r="B26">
        <v>50</v>
      </c>
      <c r="C26">
        <v>35</v>
      </c>
      <c r="D26">
        <v>50</v>
      </c>
      <c r="E26">
        <v>50</v>
      </c>
      <c r="F26">
        <v>50</v>
      </c>
      <c r="G26">
        <v>50</v>
      </c>
      <c r="H26">
        <v>100000</v>
      </c>
      <c r="I26">
        <v>49399</v>
      </c>
      <c r="J26">
        <f t="shared" si="10"/>
        <v>50601</v>
      </c>
      <c r="K26">
        <v>429655</v>
      </c>
      <c r="L26">
        <v>435999</v>
      </c>
      <c r="M26">
        <v>407613</v>
      </c>
      <c r="N26">
        <v>49301</v>
      </c>
      <c r="O26">
        <v>95797</v>
      </c>
      <c r="P26">
        <v>19199</v>
      </c>
      <c r="Q26">
        <v>1404</v>
      </c>
      <c r="R26">
        <v>11646</v>
      </c>
      <c r="S26">
        <v>41554</v>
      </c>
      <c r="T26">
        <v>152742</v>
      </c>
      <c r="U26">
        <v>32843</v>
      </c>
      <c r="V26">
        <v>94065</v>
      </c>
      <c r="W26">
        <v>3040</v>
      </c>
      <c r="X26">
        <v>2454</v>
      </c>
      <c r="Y26" s="6">
        <v>0.23499999999999999</v>
      </c>
      <c r="Z26" s="6">
        <v>0.29299999999999998</v>
      </c>
      <c r="AA26" s="6">
        <v>0.375</v>
      </c>
      <c r="AB26" s="6">
        <v>0.66800000000000004</v>
      </c>
      <c r="AC26" s="9">
        <f t="shared" si="11"/>
        <v>0.49398999999999998</v>
      </c>
      <c r="AD26" s="6">
        <f t="shared" si="12"/>
        <v>4.2965499999999999</v>
      </c>
      <c r="AE26" s="12">
        <f t="shared" si="87"/>
        <v>-1.075140000000002</v>
      </c>
      <c r="AF26" s="4">
        <f t="shared" si="88"/>
        <v>-12.674340000000083</v>
      </c>
      <c r="AG26" s="6">
        <f t="shared" si="89"/>
        <v>4.3599899999999998</v>
      </c>
      <c r="AH26">
        <f t="shared" ref="AH26" si="98">ROUND((M26+U26)*1.02,0)</f>
        <v>449265</v>
      </c>
      <c r="AI26" s="2">
        <f t="shared" si="69"/>
        <v>0.14144881083547572</v>
      </c>
      <c r="AJ26" s="9">
        <f t="shared" ref="AJ26" si="99">P26/$AH26</f>
        <v>4.2734243709169423E-2</v>
      </c>
      <c r="AK26" s="9">
        <f t="shared" ref="AK26" si="100">Q26/$AH26</f>
        <v>3.1251043370839038E-3</v>
      </c>
      <c r="AL26" s="9">
        <f t="shared" ref="AL26" si="101">R26/$AH26</f>
        <v>2.592233982170879E-2</v>
      </c>
      <c r="AM26" s="9">
        <f t="shared" ref="AM26" si="102">U26/$AH26</f>
        <v>7.3103847395189922E-2</v>
      </c>
      <c r="AN26" s="2">
        <f t="shared" ref="AN26" si="103">V26/$AH26</f>
        <v>0.2093753130112517</v>
      </c>
      <c r="AO26" s="7">
        <f t="shared" ref="AO26" si="104">1-SUM(AI26:AN26)-0.02</f>
        <v>0.48429034089012046</v>
      </c>
      <c r="AP26" s="4">
        <f t="shared" si="28"/>
        <v>-12.847226424367818</v>
      </c>
      <c r="AQ26" s="4">
        <f t="shared" si="29"/>
        <v>-0.97683348226188116</v>
      </c>
      <c r="AR26" s="6">
        <f t="shared" ref="AR26" si="105">SUMPRODUCT($AI$1:$AN$1,AI26:AN26)</f>
        <v>0.288352887494018</v>
      </c>
      <c r="AS26" s="2">
        <f t="shared" si="45"/>
        <v>0.89954921505029106</v>
      </c>
      <c r="AT26" s="2">
        <f t="shared" si="75"/>
        <v>0.88803798245538845</v>
      </c>
      <c r="AU26" s="2">
        <f t="shared" si="76"/>
        <v>0.82263055367131588</v>
      </c>
      <c r="AV26" s="2">
        <f t="shared" si="77"/>
        <v>0.98556585410318331</v>
      </c>
      <c r="AW26" s="2">
        <f t="shared" si="78"/>
        <v>0.99106475453053522</v>
      </c>
      <c r="AX26" s="2">
        <f t="shared" si="79"/>
        <v>0.98912324787876149</v>
      </c>
      <c r="AY26" s="2">
        <f t="shared" si="80"/>
        <v>1.0548866854353784</v>
      </c>
    </row>
    <row r="27" spans="1:51" x14ac:dyDescent="0.5">
      <c r="A27" t="s">
        <v>53</v>
      </c>
      <c r="B27">
        <v>50</v>
      </c>
      <c r="C27">
        <v>40</v>
      </c>
      <c r="D27">
        <v>50</v>
      </c>
      <c r="E27">
        <v>50</v>
      </c>
      <c r="F27">
        <v>50</v>
      </c>
      <c r="G27">
        <v>50</v>
      </c>
      <c r="H27">
        <v>100000</v>
      </c>
      <c r="I27">
        <v>49921</v>
      </c>
      <c r="J27">
        <f t="shared" si="10"/>
        <v>50079</v>
      </c>
      <c r="K27">
        <v>433840</v>
      </c>
      <c r="L27">
        <v>435429</v>
      </c>
      <c r="M27">
        <v>411514</v>
      </c>
      <c r="N27">
        <v>51225</v>
      </c>
      <c r="O27">
        <v>100724</v>
      </c>
      <c r="P27">
        <v>20362</v>
      </c>
      <c r="Q27">
        <v>1532</v>
      </c>
      <c r="R27">
        <v>11987</v>
      </c>
      <c r="S27">
        <v>43061</v>
      </c>
      <c r="T27">
        <v>160111</v>
      </c>
      <c r="U27">
        <v>33359</v>
      </c>
      <c r="V27">
        <v>95855</v>
      </c>
      <c r="W27">
        <v>3142</v>
      </c>
      <c r="X27">
        <v>2479</v>
      </c>
      <c r="Y27" s="6">
        <v>0.245</v>
      </c>
      <c r="Z27" s="6">
        <v>0.30199999999999999</v>
      </c>
      <c r="AA27" s="6">
        <v>0.38900000000000001</v>
      </c>
      <c r="AB27" s="6">
        <v>0.69099999999999995</v>
      </c>
      <c r="AC27" s="9">
        <f t="shared" si="11"/>
        <v>0.49920999999999999</v>
      </c>
      <c r="AD27" s="6">
        <f t="shared" si="12"/>
        <v>4.3384</v>
      </c>
      <c r="AE27" s="12">
        <f t="shared" si="87"/>
        <v>-0.2295000000000017</v>
      </c>
      <c r="AF27" s="4">
        <f t="shared" si="88"/>
        <v>-5.8946400000000558</v>
      </c>
      <c r="AG27" s="6">
        <f t="shared" si="89"/>
        <v>4.3542899999999998</v>
      </c>
      <c r="AH27">
        <f t="shared" ref="AH27" si="106">ROUND((M27+U27)*1.02,0)</f>
        <v>453770</v>
      </c>
      <c r="AI27" s="2">
        <f t="shared" si="69"/>
        <v>0.14730590387200565</v>
      </c>
      <c r="AJ27" s="9">
        <f t="shared" ref="AJ27" si="107">P27/$AH27</f>
        <v>4.4872953258258588E-2</v>
      </c>
      <c r="AK27" s="9">
        <f t="shared" ref="AK27" si="108">Q27/$AH27</f>
        <v>3.3761597284968155E-3</v>
      </c>
      <c r="AL27" s="9">
        <f t="shared" ref="AL27" si="109">R27/$AH27</f>
        <v>2.6416466491835072E-2</v>
      </c>
      <c r="AM27" s="9">
        <f t="shared" ref="AM27" si="110">U27/$AH27</f>
        <v>7.3515216960133994E-2</v>
      </c>
      <c r="AN27" s="2">
        <f t="shared" ref="AN27" si="111">V27/$AH27</f>
        <v>0.21124137779051061</v>
      </c>
      <c r="AO27" s="7">
        <f t="shared" ref="AO27" si="112">1-SUM(AI27:AN27)-0.02</f>
        <v>0.47327192189875933</v>
      </c>
      <c r="AP27" s="4">
        <f t="shared" si="28"/>
        <v>-9.1579459146669251</v>
      </c>
      <c r="AQ27" s="4">
        <f t="shared" si="29"/>
        <v>-0.61874705060131285</v>
      </c>
      <c r="AR27" s="6">
        <f t="shared" ref="AR27" si="113">SUMPRODUCT($AI$1:$AN$1,AI27:AN27)</f>
        <v>0.29792765057187559</v>
      </c>
      <c r="AS27" s="2">
        <f t="shared" si="45"/>
        <v>0.93679762606461403</v>
      </c>
      <c r="AT27" s="2">
        <f t="shared" si="75"/>
        <v>0.93248138774779799</v>
      </c>
      <c r="AU27" s="2">
        <f t="shared" si="76"/>
        <v>0.88871661460356799</v>
      </c>
      <c r="AV27" s="2">
        <f t="shared" si="77"/>
        <v>1.0043525213958611</v>
      </c>
      <c r="AW27" s="2">
        <f t="shared" si="78"/>
        <v>0.99664166862506554</v>
      </c>
      <c r="AX27" s="2">
        <f t="shared" si="79"/>
        <v>0.99793884332154204</v>
      </c>
      <c r="AY27" s="2">
        <f t="shared" si="80"/>
        <v>1.0308862408525443</v>
      </c>
    </row>
    <row r="28" spans="1:51" x14ac:dyDescent="0.5">
      <c r="A28" t="s">
        <v>54</v>
      </c>
      <c r="B28">
        <v>50</v>
      </c>
      <c r="C28">
        <v>45</v>
      </c>
      <c r="D28">
        <v>50</v>
      </c>
      <c r="E28">
        <v>50</v>
      </c>
      <c r="F28">
        <v>50</v>
      </c>
      <c r="G28">
        <v>50</v>
      </c>
      <c r="H28">
        <v>100000</v>
      </c>
      <c r="I28">
        <v>50167</v>
      </c>
      <c r="J28">
        <f t="shared" si="10"/>
        <v>49833</v>
      </c>
      <c r="K28">
        <v>437391</v>
      </c>
      <c r="L28">
        <v>436130</v>
      </c>
      <c r="M28">
        <v>413466</v>
      </c>
      <c r="N28">
        <v>52242</v>
      </c>
      <c r="O28">
        <v>104802</v>
      </c>
      <c r="P28">
        <v>21214</v>
      </c>
      <c r="Q28">
        <v>1616</v>
      </c>
      <c r="R28">
        <v>12033</v>
      </c>
      <c r="S28">
        <v>44129</v>
      </c>
      <c r="T28">
        <v>165347</v>
      </c>
      <c r="U28">
        <v>33776</v>
      </c>
      <c r="V28">
        <v>96158</v>
      </c>
      <c r="W28">
        <v>3261</v>
      </c>
      <c r="X28">
        <v>2591</v>
      </c>
      <c r="Y28" s="6">
        <v>0.253</v>
      </c>
      <c r="Z28" s="6">
        <v>0.311</v>
      </c>
      <c r="AA28" s="6">
        <v>0.4</v>
      </c>
      <c r="AB28" s="6">
        <v>0.71099999999999997</v>
      </c>
      <c r="AC28" s="9">
        <f t="shared" si="11"/>
        <v>0.50166999999999995</v>
      </c>
      <c r="AD28" s="6">
        <f t="shared" si="12"/>
        <v>4.3739100000000004</v>
      </c>
      <c r="AE28" s="12">
        <f t="shared" si="87"/>
        <v>0.16901999999999218</v>
      </c>
      <c r="AF28" s="4">
        <f t="shared" si="88"/>
        <v>-0.14201999999999515</v>
      </c>
      <c r="AG28" s="6">
        <f t="shared" si="89"/>
        <v>4.3613</v>
      </c>
      <c r="AH28">
        <f t="shared" ref="AH28" si="114">ROUND((M28+U28)*1.02,0)</f>
        <v>456187</v>
      </c>
      <c r="AI28" s="2">
        <f t="shared" si="69"/>
        <v>0.15331212857885035</v>
      </c>
      <c r="AJ28" s="9">
        <f t="shared" ref="AJ28" si="115">P28/$AH28</f>
        <v>4.6502859572938288E-2</v>
      </c>
      <c r="AK28" s="9">
        <f t="shared" ref="AK28" si="116">Q28/$AH28</f>
        <v>3.5424069515352257E-3</v>
      </c>
      <c r="AL28" s="9">
        <f t="shared" ref="AL28" si="117">R28/$AH28</f>
        <v>2.6377340871177827E-2</v>
      </c>
      <c r="AM28" s="9">
        <f t="shared" ref="AM28" si="118">U28/$AH28</f>
        <v>7.4039812620701598E-2</v>
      </c>
      <c r="AN28" s="2">
        <f t="shared" ref="AN28" si="119">V28/$AH28</f>
        <v>0.21078636611740362</v>
      </c>
      <c r="AO28" s="7">
        <f t="shared" ref="AO28" si="120">1-SUM(AI28:AN28)-0.02</f>
        <v>0.46543908528739308</v>
      </c>
      <c r="AP28" s="4">
        <f t="shared" si="28"/>
        <v>-6.2541485551791993</v>
      </c>
      <c r="AQ28" s="4">
        <f t="shared" si="29"/>
        <v>-0.33690064938834513</v>
      </c>
      <c r="AR28" s="6">
        <f t="shared" ref="AR28" si="121">SUMPRODUCT($AI$1:$AN$1,AI28:AN28)</f>
        <v>0.30591509622150564</v>
      </c>
      <c r="AS28" s="2">
        <f t="shared" si="45"/>
        <v>0.97499444573771898</v>
      </c>
      <c r="AT28" s="2">
        <f t="shared" si="75"/>
        <v>0.96635161896400845</v>
      </c>
      <c r="AU28" s="2">
        <f t="shared" si="76"/>
        <v>0.93247836793498462</v>
      </c>
      <c r="AV28" s="2">
        <f t="shared" si="77"/>
        <v>1.0028649675714147</v>
      </c>
      <c r="AW28" s="2">
        <f t="shared" si="78"/>
        <v>1.0037535825405899</v>
      </c>
      <c r="AX28" s="2">
        <f t="shared" si="79"/>
        <v>0.99578929370438085</v>
      </c>
      <c r="AY28" s="2">
        <f t="shared" si="80"/>
        <v>1.0138246677570864</v>
      </c>
    </row>
    <row r="29" spans="1:51" x14ac:dyDescent="0.5">
      <c r="A29" t="s">
        <v>55</v>
      </c>
      <c r="B29">
        <v>50</v>
      </c>
      <c r="C29">
        <v>55</v>
      </c>
      <c r="D29">
        <v>50</v>
      </c>
      <c r="E29">
        <v>50</v>
      </c>
      <c r="F29">
        <v>50</v>
      </c>
      <c r="G29">
        <v>50</v>
      </c>
      <c r="H29">
        <v>100000</v>
      </c>
      <c r="I29">
        <v>50474</v>
      </c>
      <c r="J29">
        <f t="shared" si="10"/>
        <v>49526</v>
      </c>
      <c r="K29">
        <v>438537</v>
      </c>
      <c r="L29">
        <v>436003</v>
      </c>
      <c r="M29">
        <v>416860</v>
      </c>
      <c r="N29">
        <v>53770</v>
      </c>
      <c r="O29">
        <v>111879</v>
      </c>
      <c r="P29">
        <v>22695</v>
      </c>
      <c r="Q29">
        <v>1848</v>
      </c>
      <c r="R29">
        <v>12265</v>
      </c>
      <c r="S29">
        <v>45919</v>
      </c>
      <c r="T29">
        <v>175065</v>
      </c>
      <c r="U29">
        <v>33454</v>
      </c>
      <c r="V29">
        <v>96403</v>
      </c>
      <c r="W29">
        <v>3338</v>
      </c>
      <c r="X29">
        <v>2582</v>
      </c>
      <c r="Y29" s="6">
        <v>0.26800000000000002</v>
      </c>
      <c r="Z29" s="6">
        <v>0.32300000000000001</v>
      </c>
      <c r="AA29" s="6">
        <v>0.42</v>
      </c>
      <c r="AB29" s="6">
        <v>0.74299999999999999</v>
      </c>
      <c r="AC29" s="9">
        <f t="shared" ref="AC29:AC51" si="122">I29/H29</f>
        <v>0.50473999999999997</v>
      </c>
      <c r="AD29" s="6">
        <f t="shared" ref="AD29:AD51" si="123">K29/H29</f>
        <v>4.38537</v>
      </c>
      <c r="AE29" s="12">
        <f t="shared" ref="AE29:AE51" si="124">(AC29-$AC$7)*162</f>
        <v>0.66635999999999496</v>
      </c>
      <c r="AF29" s="4">
        <f t="shared" ref="AF29:AF51" si="125">(AD29-$AD$7)*162</f>
        <v>1.7144999999999371</v>
      </c>
      <c r="AG29" s="6">
        <f t="shared" ref="AG29:AG51" si="126">L29/H29</f>
        <v>4.3600300000000001</v>
      </c>
      <c r="AH29">
        <f t="shared" ref="AH29:AH51" si="127">ROUND((M29+U29)*1.02,0)</f>
        <v>459320</v>
      </c>
      <c r="AI29" s="2">
        <f t="shared" ref="AI29:AI51" si="128">(O29-SUM(P29:R29))/$AH29</f>
        <v>0.16343943220412785</v>
      </c>
      <c r="AJ29" s="9">
        <f t="shared" ref="AJ29:AJ51" si="129">P29/$AH29</f>
        <v>4.9409997387442305E-2</v>
      </c>
      <c r="AK29" s="9">
        <f t="shared" ref="AK29:AK51" si="130">Q29/$AH29</f>
        <v>4.0233388487329099E-3</v>
      </c>
      <c r="AL29" s="9">
        <f t="shared" ref="AL29:AL51" si="131">R29/$AH29</f>
        <v>2.670251676391187E-2</v>
      </c>
      <c r="AM29" s="9">
        <f t="shared" ref="AM29:AM51" si="132">U29/$AH29</f>
        <v>7.2833754245406251E-2</v>
      </c>
      <c r="AN29" s="2">
        <f t="shared" ref="AN29:AN51" si="133">V29/$AH29</f>
        <v>0.20988199947748845</v>
      </c>
      <c r="AO29" s="7">
        <f t="shared" ref="AO29:AO51" si="134">1-SUM(AI29:AN29)-0.02</f>
        <v>0.45370896107289038</v>
      </c>
      <c r="AP29" s="4">
        <f t="shared" si="28"/>
        <v>-0.88848459522841949</v>
      </c>
      <c r="AQ29" s="4">
        <f t="shared" si="29"/>
        <v>0.18389777075245994</v>
      </c>
      <c r="AR29" s="6">
        <f t="shared" ref="AR29:AR51" si="135">SUMPRODUCT($AI$1:$AN$1,AI29:AN29)</f>
        <v>0.31915050509448756</v>
      </c>
      <c r="AS29" s="2">
        <f t="shared" si="45"/>
        <v>1.039399427107909</v>
      </c>
      <c r="AT29" s="2">
        <f t="shared" si="75"/>
        <v>1.0267633304027668</v>
      </c>
      <c r="AU29" s="2">
        <f t="shared" si="76"/>
        <v>1.0590755084448906</v>
      </c>
      <c r="AV29" s="2">
        <f t="shared" si="77"/>
        <v>1.0152281361225732</v>
      </c>
      <c r="AW29" s="2">
        <f t="shared" si="78"/>
        <v>0.98740311686400184</v>
      </c>
      <c r="AX29" s="2">
        <f t="shared" si="79"/>
        <v>0.99151691767646766</v>
      </c>
      <c r="AY29" s="2">
        <f t="shared" si="80"/>
        <v>0.98827397882606438</v>
      </c>
    </row>
    <row r="30" spans="1:51" x14ac:dyDescent="0.5">
      <c r="A30" t="s">
        <v>56</v>
      </c>
      <c r="B30">
        <v>50</v>
      </c>
      <c r="C30">
        <v>60</v>
      </c>
      <c r="D30">
        <v>50</v>
      </c>
      <c r="E30">
        <v>50</v>
      </c>
      <c r="F30">
        <v>50</v>
      </c>
      <c r="G30">
        <v>50</v>
      </c>
      <c r="H30">
        <v>100000</v>
      </c>
      <c r="I30">
        <v>50382</v>
      </c>
      <c r="J30">
        <f t="shared" si="10"/>
        <v>49618</v>
      </c>
      <c r="K30">
        <v>440003</v>
      </c>
      <c r="L30">
        <v>435282</v>
      </c>
      <c r="M30">
        <v>417342</v>
      </c>
      <c r="N30">
        <v>54488</v>
      </c>
      <c r="O30">
        <v>114510</v>
      </c>
      <c r="P30">
        <v>23544</v>
      </c>
      <c r="Q30">
        <v>1882</v>
      </c>
      <c r="R30">
        <v>12182</v>
      </c>
      <c r="S30">
        <v>46897</v>
      </c>
      <c r="T30">
        <v>178364</v>
      </c>
      <c r="U30">
        <v>34083</v>
      </c>
      <c r="V30">
        <v>96642</v>
      </c>
      <c r="W30">
        <v>3447</v>
      </c>
      <c r="X30">
        <v>2652</v>
      </c>
      <c r="Y30" s="6">
        <v>0.27400000000000002</v>
      </c>
      <c r="Z30" s="6">
        <v>0.33</v>
      </c>
      <c r="AA30" s="6">
        <v>0.42699999999999999</v>
      </c>
      <c r="AB30" s="6">
        <v>0.75700000000000001</v>
      </c>
      <c r="AC30" s="9">
        <f t="shared" si="122"/>
        <v>0.50382000000000005</v>
      </c>
      <c r="AD30" s="6">
        <f t="shared" si="123"/>
        <v>4.4000300000000001</v>
      </c>
      <c r="AE30" s="12">
        <f t="shared" si="124"/>
        <v>0.51732000000000777</v>
      </c>
      <c r="AF30" s="4">
        <f t="shared" si="125"/>
        <v>4.0894199999999561</v>
      </c>
      <c r="AG30" s="6">
        <f t="shared" si="126"/>
        <v>4.3528200000000004</v>
      </c>
      <c r="AH30">
        <f t="shared" si="127"/>
        <v>460454</v>
      </c>
      <c r="AI30" s="2">
        <f t="shared" si="128"/>
        <v>0.16701342587967527</v>
      </c>
      <c r="AJ30" s="9">
        <f t="shared" si="129"/>
        <v>5.11321434931611E-2</v>
      </c>
      <c r="AK30" s="9">
        <f t="shared" si="130"/>
        <v>4.087270389658902E-3</v>
      </c>
      <c r="AL30" s="9">
        <f t="shared" si="131"/>
        <v>2.6456497283116227E-2</v>
      </c>
      <c r="AM30" s="9">
        <f t="shared" si="132"/>
        <v>7.4020423321330686E-2</v>
      </c>
      <c r="AN30" s="2">
        <f t="shared" si="133"/>
        <v>0.20988415780946632</v>
      </c>
      <c r="AO30" s="7">
        <f t="shared" si="134"/>
        <v>0.44740608182359154</v>
      </c>
      <c r="AP30" s="4">
        <f t="shared" si="28"/>
        <v>0.9088514256450253</v>
      </c>
      <c r="AQ30" s="4">
        <f t="shared" si="29"/>
        <v>0.35834957524855021</v>
      </c>
      <c r="AR30" s="6">
        <f t="shared" si="135"/>
        <v>0.32497695752453015</v>
      </c>
      <c r="AS30" s="2">
        <f t="shared" si="45"/>
        <v>1.0621283789205394</v>
      </c>
      <c r="AT30" s="2">
        <f t="shared" si="75"/>
        <v>1.0625503485052488</v>
      </c>
      <c r="AU30" s="2">
        <f t="shared" si="76"/>
        <v>1.0759043990150159</v>
      </c>
      <c r="AV30" s="2">
        <f t="shared" si="77"/>
        <v>1.0058744897548437</v>
      </c>
      <c r="AW30" s="2">
        <f t="shared" si="78"/>
        <v>1.0034907228976813</v>
      </c>
      <c r="AX30" s="2">
        <f t="shared" si="79"/>
        <v>0.99152711398999305</v>
      </c>
      <c r="AY30" s="2">
        <f t="shared" si="80"/>
        <v>0.97454497612125757</v>
      </c>
    </row>
    <row r="31" spans="1:51" x14ac:dyDescent="0.5">
      <c r="A31" t="s">
        <v>57</v>
      </c>
      <c r="B31">
        <v>50</v>
      </c>
      <c r="C31">
        <v>65</v>
      </c>
      <c r="D31">
        <v>50</v>
      </c>
      <c r="E31">
        <v>50</v>
      </c>
      <c r="F31">
        <v>50</v>
      </c>
      <c r="G31">
        <v>50</v>
      </c>
      <c r="H31">
        <v>100000</v>
      </c>
      <c r="I31">
        <v>50715</v>
      </c>
      <c r="J31">
        <f t="shared" si="10"/>
        <v>49285</v>
      </c>
      <c r="K31">
        <v>442187</v>
      </c>
      <c r="L31">
        <v>434558</v>
      </c>
      <c r="M31">
        <v>418405</v>
      </c>
      <c r="N31">
        <v>56126</v>
      </c>
      <c r="O31">
        <v>117875</v>
      </c>
      <c r="P31">
        <v>24233</v>
      </c>
      <c r="Q31">
        <v>1894</v>
      </c>
      <c r="R31">
        <v>12239</v>
      </c>
      <c r="S31">
        <v>47726</v>
      </c>
      <c r="T31">
        <v>182613</v>
      </c>
      <c r="U31">
        <v>36358</v>
      </c>
      <c r="V31">
        <v>97384</v>
      </c>
      <c r="W31">
        <v>3546</v>
      </c>
      <c r="X31">
        <v>2754</v>
      </c>
      <c r="Y31" s="6">
        <v>0.28199999999999997</v>
      </c>
      <c r="Z31" s="6">
        <v>0.34</v>
      </c>
      <c r="AA31" s="6">
        <v>0.436</v>
      </c>
      <c r="AB31" s="6">
        <v>0.77600000000000002</v>
      </c>
      <c r="AC31" s="9">
        <f t="shared" si="122"/>
        <v>0.50714999999999999</v>
      </c>
      <c r="AD31" s="6">
        <f t="shared" si="123"/>
        <v>4.4218700000000002</v>
      </c>
      <c r="AE31" s="12">
        <f t="shared" si="124"/>
        <v>1.0567799999999987</v>
      </c>
      <c r="AF31" s="4">
        <f t="shared" si="125"/>
        <v>7.6274999999999693</v>
      </c>
      <c r="AG31" s="6">
        <f t="shared" si="126"/>
        <v>4.34558</v>
      </c>
      <c r="AH31">
        <f t="shared" si="127"/>
        <v>463858</v>
      </c>
      <c r="AI31" s="2">
        <f t="shared" si="128"/>
        <v>0.17140806022532759</v>
      </c>
      <c r="AJ31" s="9">
        <f t="shared" si="129"/>
        <v>5.2242281042905375E-2</v>
      </c>
      <c r="AK31" s="9">
        <f t="shared" si="130"/>
        <v>4.0831461352396643E-3</v>
      </c>
      <c r="AL31" s="9">
        <f t="shared" si="131"/>
        <v>2.638522996261787E-2</v>
      </c>
      <c r="AM31" s="9">
        <f t="shared" si="132"/>
        <v>7.8381746137826669E-2</v>
      </c>
      <c r="AN31" s="2">
        <f t="shared" si="133"/>
        <v>0.20994356031371669</v>
      </c>
      <c r="AO31" s="7">
        <f t="shared" si="134"/>
        <v>0.43755597618236619</v>
      </c>
      <c r="AP31" s="4">
        <f t="shared" si="28"/>
        <v>3.8061840691430007</v>
      </c>
      <c r="AQ31" s="4">
        <f t="shared" si="29"/>
        <v>0.6395685026019452</v>
      </c>
      <c r="AR31" s="6">
        <f t="shared" si="135"/>
        <v>0.33330344631331144</v>
      </c>
      <c r="AS31" s="2">
        <f t="shared" si="45"/>
        <v>1.0900762269986874</v>
      </c>
      <c r="AT31" s="2">
        <f t="shared" si="75"/>
        <v>1.0856195366867947</v>
      </c>
      <c r="AU31" s="2">
        <f t="shared" si="76"/>
        <v>1.0748187591993723</v>
      </c>
      <c r="AV31" s="2">
        <f t="shared" si="77"/>
        <v>1.0031649103696607</v>
      </c>
      <c r="AW31" s="2">
        <f t="shared" si="78"/>
        <v>1.06261693144308</v>
      </c>
      <c r="AX31" s="2">
        <f t="shared" si="79"/>
        <v>0.99180774114269432</v>
      </c>
      <c r="AY31" s="2">
        <f t="shared" si="80"/>
        <v>0.95308936486136242</v>
      </c>
    </row>
    <row r="32" spans="1:51" x14ac:dyDescent="0.5">
      <c r="A32" t="s">
        <v>58</v>
      </c>
      <c r="B32">
        <v>50</v>
      </c>
      <c r="C32">
        <v>70</v>
      </c>
      <c r="D32">
        <v>50</v>
      </c>
      <c r="E32">
        <v>50</v>
      </c>
      <c r="F32">
        <v>50</v>
      </c>
      <c r="G32">
        <v>50</v>
      </c>
      <c r="H32">
        <v>100000</v>
      </c>
      <c r="I32">
        <v>50892</v>
      </c>
      <c r="J32">
        <f t="shared" si="10"/>
        <v>49108</v>
      </c>
      <c r="K32">
        <v>444470</v>
      </c>
      <c r="L32">
        <v>435661</v>
      </c>
      <c r="M32">
        <v>420832</v>
      </c>
      <c r="N32">
        <v>57157</v>
      </c>
      <c r="O32">
        <v>121444</v>
      </c>
      <c r="P32">
        <v>25064</v>
      </c>
      <c r="Q32">
        <v>2023</v>
      </c>
      <c r="R32">
        <v>12496</v>
      </c>
      <c r="S32">
        <v>49007</v>
      </c>
      <c r="T32">
        <v>188042</v>
      </c>
      <c r="U32">
        <v>36197</v>
      </c>
      <c r="V32">
        <v>98025</v>
      </c>
      <c r="W32">
        <v>3477</v>
      </c>
      <c r="X32">
        <v>2802</v>
      </c>
      <c r="Y32" s="6">
        <v>0.28899999999999998</v>
      </c>
      <c r="Z32" s="6">
        <v>0.34499999999999997</v>
      </c>
      <c r="AA32" s="6">
        <v>0.44700000000000001</v>
      </c>
      <c r="AB32" s="6">
        <v>0.79200000000000004</v>
      </c>
      <c r="AC32" s="9">
        <f t="shared" si="122"/>
        <v>0.50892000000000004</v>
      </c>
      <c r="AD32" s="6">
        <f t="shared" si="123"/>
        <v>4.4447000000000001</v>
      </c>
      <c r="AE32" s="12">
        <f t="shared" si="124"/>
        <v>1.3435200000000067</v>
      </c>
      <c r="AF32" s="4">
        <f t="shared" si="125"/>
        <v>11.325959999999954</v>
      </c>
      <c r="AG32" s="6">
        <f t="shared" si="126"/>
        <v>4.3566099999999999</v>
      </c>
      <c r="AH32">
        <f t="shared" si="127"/>
        <v>466170</v>
      </c>
      <c r="AI32" s="2">
        <f t="shared" si="128"/>
        <v>0.17560332067700624</v>
      </c>
      <c r="AJ32" s="9">
        <f t="shared" si="129"/>
        <v>5.3765793594611408E-2</v>
      </c>
      <c r="AK32" s="9">
        <f t="shared" si="130"/>
        <v>4.3396185940751224E-3</v>
      </c>
      <c r="AL32" s="9">
        <f t="shared" si="131"/>
        <v>2.6805671750648904E-2</v>
      </c>
      <c r="AM32" s="9">
        <f t="shared" si="132"/>
        <v>7.7647639273226501E-2</v>
      </c>
      <c r="AN32" s="2">
        <f t="shared" si="133"/>
        <v>0.21027736662590901</v>
      </c>
      <c r="AO32" s="7">
        <f t="shared" si="134"/>
        <v>0.43156058948452281</v>
      </c>
      <c r="AP32" s="4">
        <f t="shared" si="28"/>
        <v>6.4943217116356209</v>
      </c>
      <c r="AQ32" s="4">
        <f t="shared" si="29"/>
        <v>0.9004826872733287</v>
      </c>
      <c r="AR32" s="6">
        <f t="shared" si="135"/>
        <v>0.33965973786386938</v>
      </c>
      <c r="AS32" s="2">
        <f t="shared" si="45"/>
        <v>1.1167561490422071</v>
      </c>
      <c r="AT32" s="2">
        <f t="shared" si="75"/>
        <v>1.1172788547238701</v>
      </c>
      <c r="AU32" s="2">
        <f t="shared" si="76"/>
        <v>1.1423307709775545</v>
      </c>
      <c r="AV32" s="2">
        <f t="shared" si="77"/>
        <v>1.0191500827256861</v>
      </c>
      <c r="AW32" s="2">
        <f t="shared" si="78"/>
        <v>1.0526646858980389</v>
      </c>
      <c r="AX32" s="2">
        <f t="shared" si="79"/>
        <v>0.99338469679677543</v>
      </c>
      <c r="AY32" s="2">
        <f t="shared" si="80"/>
        <v>0.94003014590199385</v>
      </c>
    </row>
    <row r="33" spans="1:51" x14ac:dyDescent="0.5">
      <c r="A33" t="s">
        <v>59</v>
      </c>
      <c r="B33">
        <v>50</v>
      </c>
      <c r="C33">
        <v>75</v>
      </c>
      <c r="D33">
        <v>50</v>
      </c>
      <c r="E33">
        <v>50</v>
      </c>
      <c r="F33">
        <v>50</v>
      </c>
      <c r="G33">
        <v>50</v>
      </c>
      <c r="H33">
        <v>100000</v>
      </c>
      <c r="I33">
        <v>51020</v>
      </c>
      <c r="J33">
        <f t="shared" si="10"/>
        <v>48980</v>
      </c>
      <c r="K33">
        <v>446275</v>
      </c>
      <c r="L33">
        <v>435430</v>
      </c>
      <c r="M33">
        <v>420584</v>
      </c>
      <c r="N33">
        <v>58151</v>
      </c>
      <c r="O33">
        <v>123891</v>
      </c>
      <c r="P33">
        <v>25405</v>
      </c>
      <c r="Q33">
        <v>2060</v>
      </c>
      <c r="R33">
        <v>12628</v>
      </c>
      <c r="S33">
        <v>49368</v>
      </c>
      <c r="T33">
        <v>191300</v>
      </c>
      <c r="U33">
        <v>36303</v>
      </c>
      <c r="V33">
        <v>98372</v>
      </c>
      <c r="W33">
        <v>3723</v>
      </c>
      <c r="X33">
        <v>2864</v>
      </c>
      <c r="Y33" s="6">
        <v>0.29499999999999998</v>
      </c>
      <c r="Z33" s="6">
        <v>0.35099999999999998</v>
      </c>
      <c r="AA33" s="6">
        <v>0.45500000000000002</v>
      </c>
      <c r="AB33" s="6">
        <v>0.80600000000000005</v>
      </c>
      <c r="AC33" s="9">
        <f t="shared" si="122"/>
        <v>0.51019999999999999</v>
      </c>
      <c r="AD33" s="6">
        <f t="shared" si="123"/>
        <v>4.4627499999999998</v>
      </c>
      <c r="AE33" s="12">
        <f t="shared" si="124"/>
        <v>1.5508799999999983</v>
      </c>
      <c r="AF33" s="4">
        <f t="shared" si="125"/>
        <v>14.250059999999902</v>
      </c>
      <c r="AG33" s="6">
        <f t="shared" si="126"/>
        <v>4.3543000000000003</v>
      </c>
      <c r="AH33">
        <f t="shared" si="127"/>
        <v>466025</v>
      </c>
      <c r="AI33" s="2">
        <f t="shared" si="128"/>
        <v>0.17981438764014807</v>
      </c>
      <c r="AJ33" s="9">
        <f t="shared" si="129"/>
        <v>5.4514242798133147E-2</v>
      </c>
      <c r="AK33" s="9">
        <f t="shared" si="130"/>
        <v>4.4203637143930049E-3</v>
      </c>
      <c r="AL33" s="9">
        <f t="shared" si="131"/>
        <v>2.7097258730754789E-2</v>
      </c>
      <c r="AM33" s="9">
        <f t="shared" si="132"/>
        <v>7.7899254331849146E-2</v>
      </c>
      <c r="AN33" s="2">
        <f t="shared" si="133"/>
        <v>0.2110873880156644</v>
      </c>
      <c r="AO33" s="7">
        <f t="shared" si="134"/>
        <v>0.4251671047690575</v>
      </c>
      <c r="AP33" s="4">
        <f t="shared" si="28"/>
        <v>8.5844415452579597</v>
      </c>
      <c r="AQ33" s="4">
        <f t="shared" si="29"/>
        <v>1.1033524747554098</v>
      </c>
      <c r="AR33" s="6">
        <f t="shared" si="135"/>
        <v>0.34525349498417468</v>
      </c>
      <c r="AS33" s="2">
        <f t="shared" si="45"/>
        <v>1.1435365932102708</v>
      </c>
      <c r="AT33" s="2">
        <f t="shared" si="75"/>
        <v>1.1328319864275482</v>
      </c>
      <c r="AU33" s="2">
        <f t="shared" si="76"/>
        <v>1.1635855502964867</v>
      </c>
      <c r="AV33" s="2">
        <f t="shared" si="77"/>
        <v>1.0302362027700178</v>
      </c>
      <c r="AW33" s="2">
        <f t="shared" si="78"/>
        <v>1.0560758171202027</v>
      </c>
      <c r="AX33" s="2">
        <f t="shared" si="79"/>
        <v>0.99721137042110597</v>
      </c>
      <c r="AY33" s="2">
        <f t="shared" si="80"/>
        <v>0.92610378534835813</v>
      </c>
    </row>
    <row r="34" spans="1:51" x14ac:dyDescent="0.5">
      <c r="A34" t="s">
        <v>95</v>
      </c>
      <c r="B34">
        <v>50</v>
      </c>
      <c r="C34">
        <v>80</v>
      </c>
      <c r="D34">
        <v>50</v>
      </c>
      <c r="E34">
        <v>50</v>
      </c>
      <c r="F34">
        <v>50</v>
      </c>
      <c r="G34">
        <v>50</v>
      </c>
      <c r="H34">
        <v>100000</v>
      </c>
      <c r="I34">
        <v>51333</v>
      </c>
      <c r="J34">
        <f t="shared" si="10"/>
        <v>48667</v>
      </c>
      <c r="K34">
        <v>450213</v>
      </c>
      <c r="L34">
        <v>435652</v>
      </c>
      <c r="M34">
        <v>418041</v>
      </c>
      <c r="N34">
        <v>60104</v>
      </c>
      <c r="O34">
        <v>127005</v>
      </c>
      <c r="P34">
        <v>26147</v>
      </c>
      <c r="Q34">
        <v>2020</v>
      </c>
      <c r="R34">
        <v>12239</v>
      </c>
      <c r="S34">
        <v>48731</v>
      </c>
      <c r="T34">
        <v>193909</v>
      </c>
      <c r="U34">
        <v>39835</v>
      </c>
      <c r="V34">
        <v>97566</v>
      </c>
      <c r="W34">
        <v>3893</v>
      </c>
      <c r="X34">
        <v>3011</v>
      </c>
      <c r="Y34" s="6">
        <v>0.30399999999999999</v>
      </c>
      <c r="Z34" s="6">
        <v>0.36499999999999999</v>
      </c>
      <c r="AA34" s="6">
        <v>0.46400000000000002</v>
      </c>
      <c r="AB34" s="6">
        <v>0.82899999999999996</v>
      </c>
      <c r="AC34" s="9">
        <f t="shared" ref="AC34:AC46" si="136">I34/H34</f>
        <v>0.51332999999999995</v>
      </c>
      <c r="AD34" s="6">
        <f t="shared" ref="AD34:AD46" si="137">K34/H34</f>
        <v>4.5021300000000002</v>
      </c>
      <c r="AE34" s="12">
        <f t="shared" ref="AE34:AE46" si="138">(AC34-$AC$7)*162</f>
        <v>2.0579399999999928</v>
      </c>
      <c r="AF34" s="4">
        <f t="shared" ref="AF34:AF46" si="139">(AD34-$AD$7)*162</f>
        <v>20.629619999999967</v>
      </c>
      <c r="AG34" s="6">
        <f t="shared" ref="AG34:AG46" si="140">L34/H34</f>
        <v>4.3565199999999997</v>
      </c>
      <c r="AH34">
        <f t="shared" ref="AH34:AH46" si="141">ROUND((M34+U34)*1.02,0)</f>
        <v>467034</v>
      </c>
      <c r="AI34" s="2">
        <f t="shared" ref="AI34:AI46" si="142">(O34-SUM(P34:R34))/$AH34</f>
        <v>0.1854233310636913</v>
      </c>
      <c r="AJ34" s="9">
        <f t="shared" ref="AJ34:AJ46" si="143">P34/$AH34</f>
        <v>5.59852173503428E-2</v>
      </c>
      <c r="AK34" s="9">
        <f t="shared" ref="AK34:AK46" si="144">Q34/$AH34</f>
        <v>4.3251669043367288E-3</v>
      </c>
      <c r="AL34" s="9">
        <f t="shared" ref="AL34:AL46" si="145">R34/$AH34</f>
        <v>2.6205800862463973E-2</v>
      </c>
      <c r="AM34" s="9">
        <f t="shared" ref="AM34:AM46" si="146">U34/$AH34</f>
        <v>8.5293576056561196E-2</v>
      </c>
      <c r="AN34" s="2">
        <f t="shared" ref="AN34:AN46" si="147">V34/$AH34</f>
        <v>0.20890556147946401</v>
      </c>
      <c r="AO34" s="7">
        <f t="shared" ref="AO34:AO46" si="148">1-SUM(AI34:AN34)-0.02</f>
        <v>0.41386134628313997</v>
      </c>
      <c r="AP34" s="4">
        <f t="shared" si="28"/>
        <v>11.808640955400733</v>
      </c>
      <c r="AQ34" s="4">
        <f t="shared" si="29"/>
        <v>1.4162975215482163</v>
      </c>
      <c r="AR34" s="6">
        <f t="shared" ref="AR34:AR46" si="149">SUMPRODUCT($AI$1:$AN$1,AI34:AN34)</f>
        <v>0.35556261428504132</v>
      </c>
      <c r="AS34" s="2">
        <f t="shared" ref="AS34:AS46" si="150">AI34/AI$7</f>
        <v>1.1792068871074632</v>
      </c>
      <c r="AT34" s="2">
        <f t="shared" ref="AT34:AT46" si="151">AJ34/AJ$7</f>
        <v>1.1633995397573194</v>
      </c>
      <c r="AU34" s="2">
        <f t="shared" ref="AU34:AU46" si="152">AK34/AK$7</f>
        <v>1.1385266095004776</v>
      </c>
      <c r="AV34" s="2">
        <f t="shared" ref="AV34:AV46" si="153">AL34/AL$7</f>
        <v>0.99634302640546524</v>
      </c>
      <c r="AW34" s="2">
        <f t="shared" ref="AW34:AW46" si="154">AM34/AM$7</f>
        <v>1.1563202215686579</v>
      </c>
      <c r="AX34" s="2">
        <f t="shared" ref="AX34:AX46" si="155">AN34/AN$7</f>
        <v>0.98690406475666681</v>
      </c>
      <c r="AY34" s="2">
        <f t="shared" ref="AY34:AY46" si="156">AO34/AO$7</f>
        <v>0.90147745463603779</v>
      </c>
    </row>
    <row r="35" spans="1:51" x14ac:dyDescent="0.5">
      <c r="A35" t="s">
        <v>84</v>
      </c>
      <c r="B35">
        <v>50</v>
      </c>
      <c r="C35">
        <v>50</v>
      </c>
      <c r="D35">
        <v>20</v>
      </c>
      <c r="E35">
        <v>50</v>
      </c>
      <c r="F35">
        <v>50</v>
      </c>
      <c r="G35">
        <v>50</v>
      </c>
      <c r="H35">
        <v>100000</v>
      </c>
      <c r="I35">
        <v>49427</v>
      </c>
      <c r="J35">
        <f t="shared" si="10"/>
        <v>50573</v>
      </c>
      <c r="K35">
        <v>428098</v>
      </c>
      <c r="L35">
        <v>434302</v>
      </c>
      <c r="M35">
        <v>413144</v>
      </c>
      <c r="N35">
        <v>49816</v>
      </c>
      <c r="O35">
        <v>106968</v>
      </c>
      <c r="P35">
        <v>6437</v>
      </c>
      <c r="Q35">
        <v>449</v>
      </c>
      <c r="R35">
        <v>11991</v>
      </c>
      <c r="S35">
        <v>40860</v>
      </c>
      <c r="T35">
        <v>150276</v>
      </c>
      <c r="U35">
        <v>33650</v>
      </c>
      <c r="V35">
        <v>96117</v>
      </c>
      <c r="W35">
        <v>3671</v>
      </c>
      <c r="X35">
        <v>2974</v>
      </c>
      <c r="Y35" s="6">
        <v>0.25900000000000001</v>
      </c>
      <c r="Z35" s="6">
        <v>0.315</v>
      </c>
      <c r="AA35" s="6">
        <v>0.36399999999999999</v>
      </c>
      <c r="AB35" s="6">
        <v>0.67900000000000005</v>
      </c>
      <c r="AC35" s="9">
        <f t="shared" si="136"/>
        <v>0.49426999999999999</v>
      </c>
      <c r="AD35" s="6">
        <f t="shared" si="137"/>
        <v>4.2809799999999996</v>
      </c>
      <c r="AE35" s="12">
        <f t="shared" si="138"/>
        <v>-1.0297800000000017</v>
      </c>
      <c r="AF35" s="4">
        <f t="shared" si="139"/>
        <v>-15.196680000000132</v>
      </c>
      <c r="AG35" s="6">
        <f t="shared" si="140"/>
        <v>4.3430200000000001</v>
      </c>
      <c r="AH35">
        <f t="shared" si="141"/>
        <v>455730</v>
      </c>
      <c r="AI35" s="2">
        <f t="shared" si="142"/>
        <v>0.19329646940074166</v>
      </c>
      <c r="AJ35" s="9">
        <f t="shared" si="143"/>
        <v>1.4124591315033025E-2</v>
      </c>
      <c r="AK35" s="9">
        <f t="shared" si="144"/>
        <v>9.8523248414631478E-4</v>
      </c>
      <c r="AL35" s="9">
        <f t="shared" si="145"/>
        <v>2.6311631887301692E-2</v>
      </c>
      <c r="AM35" s="9">
        <f t="shared" si="146"/>
        <v>7.3837579268426476E-2</v>
      </c>
      <c r="AN35" s="2">
        <f t="shared" si="147"/>
        <v>0.21090777434006977</v>
      </c>
      <c r="AO35" s="7">
        <f t="shared" si="148"/>
        <v>0.46053672130428103</v>
      </c>
      <c r="AP35" s="4">
        <f t="shared" si="28"/>
        <v>-9.6736377356323828</v>
      </c>
      <c r="AQ35" s="4">
        <f t="shared" si="29"/>
        <v>-0.66880077883382194</v>
      </c>
      <c r="AR35" s="6">
        <f t="shared" si="149"/>
        <v>0.29748901762008206</v>
      </c>
      <c r="AS35" s="2">
        <f t="shared" si="150"/>
        <v>1.2292764166372212</v>
      </c>
      <c r="AT35" s="2">
        <f t="shared" si="151"/>
        <v>0.2935157495654348</v>
      </c>
      <c r="AU35" s="2">
        <f t="shared" si="152"/>
        <v>0.25934569105763866</v>
      </c>
      <c r="AV35" s="2">
        <f t="shared" si="153"/>
        <v>1.0003667158217058</v>
      </c>
      <c r="AW35" s="2">
        <f t="shared" si="154"/>
        <v>1.0010119163387148</v>
      </c>
      <c r="AX35" s="2">
        <f t="shared" si="155"/>
        <v>0.99636284601957803</v>
      </c>
      <c r="AY35" s="2">
        <f t="shared" si="156"/>
        <v>1.0031462832090117</v>
      </c>
    </row>
    <row r="36" spans="1:51" x14ac:dyDescent="0.5">
      <c r="A36" t="s">
        <v>85</v>
      </c>
      <c r="B36">
        <v>50</v>
      </c>
      <c r="C36">
        <v>50</v>
      </c>
      <c r="D36">
        <v>25</v>
      </c>
      <c r="E36">
        <v>50</v>
      </c>
      <c r="F36">
        <v>50</v>
      </c>
      <c r="G36">
        <v>50</v>
      </c>
      <c r="H36">
        <v>100000</v>
      </c>
      <c r="I36">
        <v>49356</v>
      </c>
      <c r="J36">
        <f t="shared" si="10"/>
        <v>50644</v>
      </c>
      <c r="K36">
        <v>429391</v>
      </c>
      <c r="L36">
        <v>435188</v>
      </c>
      <c r="M36">
        <v>413317</v>
      </c>
      <c r="N36">
        <v>50393</v>
      </c>
      <c r="O36">
        <v>107007</v>
      </c>
      <c r="P36">
        <v>9900</v>
      </c>
      <c r="Q36">
        <v>727</v>
      </c>
      <c r="R36">
        <v>11961</v>
      </c>
      <c r="S36">
        <v>41680</v>
      </c>
      <c r="T36">
        <v>154244</v>
      </c>
      <c r="U36">
        <v>33629</v>
      </c>
      <c r="V36">
        <v>96355</v>
      </c>
      <c r="W36">
        <v>3578</v>
      </c>
      <c r="X36">
        <v>2892</v>
      </c>
      <c r="Y36" s="6">
        <v>0.25900000000000001</v>
      </c>
      <c r="Z36" s="6">
        <v>0.315</v>
      </c>
      <c r="AA36" s="6">
        <v>0.373</v>
      </c>
      <c r="AB36" s="6">
        <v>0.68899999999999995</v>
      </c>
      <c r="AC36" s="9">
        <f t="shared" si="136"/>
        <v>0.49356</v>
      </c>
      <c r="AD36" s="6">
        <f t="shared" si="137"/>
        <v>4.2939100000000003</v>
      </c>
      <c r="AE36" s="12">
        <f t="shared" si="138"/>
        <v>-1.1447999999999998</v>
      </c>
      <c r="AF36" s="4">
        <f t="shared" si="139"/>
        <v>-13.102020000000007</v>
      </c>
      <c r="AG36" s="6">
        <f t="shared" si="140"/>
        <v>4.3518800000000004</v>
      </c>
      <c r="AH36">
        <f t="shared" si="141"/>
        <v>455885</v>
      </c>
      <c r="AI36" s="2">
        <f t="shared" si="142"/>
        <v>0.18517608607433891</v>
      </c>
      <c r="AJ36" s="9">
        <f t="shared" si="143"/>
        <v>2.1716002939337772E-2</v>
      </c>
      <c r="AK36" s="9">
        <f t="shared" si="144"/>
        <v>1.5947004178685413E-3</v>
      </c>
      <c r="AL36" s="9">
        <f t="shared" si="145"/>
        <v>2.6236879914890817E-2</v>
      </c>
      <c r="AM36" s="9">
        <f t="shared" si="146"/>
        <v>7.3766410388584835E-2</v>
      </c>
      <c r="AN36" s="2">
        <f t="shared" si="147"/>
        <v>0.21135812759796879</v>
      </c>
      <c r="AO36" s="7">
        <f t="shared" si="148"/>
        <v>0.46015179266701034</v>
      </c>
      <c r="AP36" s="4">
        <f t="shared" si="28"/>
        <v>-8.614046687373957</v>
      </c>
      <c r="AQ36" s="4">
        <f t="shared" si="29"/>
        <v>-0.56595547431098914</v>
      </c>
      <c r="AR36" s="6">
        <f t="shared" si="149"/>
        <v>0.30034778507737697</v>
      </c>
      <c r="AS36" s="2">
        <f t="shared" si="150"/>
        <v>1.1776345229795262</v>
      </c>
      <c r="AT36" s="2">
        <f t="shared" si="151"/>
        <v>0.45126890669898356</v>
      </c>
      <c r="AU36" s="2">
        <f t="shared" si="152"/>
        <v>0.41977775657730171</v>
      </c>
      <c r="AV36" s="2">
        <f t="shared" si="153"/>
        <v>0.99752465017324443</v>
      </c>
      <c r="AW36" s="2">
        <f t="shared" si="154"/>
        <v>1.0000470838306639</v>
      </c>
      <c r="AX36" s="2">
        <f t="shared" si="155"/>
        <v>0.99849038852083716</v>
      </c>
      <c r="AY36" s="2">
        <f t="shared" si="156"/>
        <v>1.0023078273076338</v>
      </c>
    </row>
    <row r="37" spans="1:51" x14ac:dyDescent="0.5">
      <c r="A37" t="s">
        <v>86</v>
      </c>
      <c r="B37">
        <v>50</v>
      </c>
      <c r="C37">
        <v>50</v>
      </c>
      <c r="D37">
        <v>30</v>
      </c>
      <c r="E37">
        <v>50</v>
      </c>
      <c r="F37">
        <v>50</v>
      </c>
      <c r="G37">
        <v>50</v>
      </c>
      <c r="H37">
        <v>100000</v>
      </c>
      <c r="I37">
        <v>49635</v>
      </c>
      <c r="J37">
        <f t="shared" si="10"/>
        <v>50365</v>
      </c>
      <c r="K37">
        <v>431825</v>
      </c>
      <c r="L37">
        <v>435589</v>
      </c>
      <c r="M37">
        <v>413249</v>
      </c>
      <c r="N37">
        <v>50791</v>
      </c>
      <c r="O37">
        <v>106848</v>
      </c>
      <c r="P37">
        <v>12125</v>
      </c>
      <c r="Q37">
        <v>903</v>
      </c>
      <c r="R37">
        <v>12114</v>
      </c>
      <c r="S37">
        <v>42453</v>
      </c>
      <c r="T37">
        <v>157121</v>
      </c>
      <c r="U37">
        <v>33932</v>
      </c>
      <c r="V37">
        <v>96445</v>
      </c>
      <c r="W37">
        <v>3627</v>
      </c>
      <c r="X37">
        <v>2772</v>
      </c>
      <c r="Y37" s="6">
        <v>0.25900000000000001</v>
      </c>
      <c r="Z37" s="6">
        <v>0.315</v>
      </c>
      <c r="AA37" s="6">
        <v>0.38</v>
      </c>
      <c r="AB37" s="6">
        <v>0.69599999999999995</v>
      </c>
      <c r="AC37" s="9">
        <f t="shared" si="136"/>
        <v>0.49635000000000001</v>
      </c>
      <c r="AD37" s="6">
        <f t="shared" si="137"/>
        <v>4.3182499999999999</v>
      </c>
      <c r="AE37" s="12">
        <f t="shared" si="138"/>
        <v>-0.69281999999999744</v>
      </c>
      <c r="AF37" s="4">
        <f t="shared" si="139"/>
        <v>-9.158940000000074</v>
      </c>
      <c r="AG37" s="6">
        <f t="shared" si="140"/>
        <v>4.3558899999999996</v>
      </c>
      <c r="AH37">
        <f t="shared" si="141"/>
        <v>456125</v>
      </c>
      <c r="AI37" s="2">
        <f t="shared" si="142"/>
        <v>0.1791307207454097</v>
      </c>
      <c r="AJ37" s="9">
        <f t="shared" si="143"/>
        <v>2.6582625376815567E-2</v>
      </c>
      <c r="AK37" s="9">
        <f t="shared" si="144"/>
        <v>1.979720471362017E-3</v>
      </c>
      <c r="AL37" s="9">
        <f t="shared" si="145"/>
        <v>2.6558509180597423E-2</v>
      </c>
      <c r="AM37" s="9">
        <f t="shared" si="146"/>
        <v>7.4391888188544808E-2</v>
      </c>
      <c r="AN37" s="2">
        <f t="shared" si="147"/>
        <v>0.21144423129624554</v>
      </c>
      <c r="AO37" s="7">
        <f t="shared" si="148"/>
        <v>0.45991230474102485</v>
      </c>
      <c r="AP37" s="4">
        <f t="shared" si="28"/>
        <v>-7.5791972627584983</v>
      </c>
      <c r="AQ37" s="4">
        <f t="shared" si="29"/>
        <v>-0.46551162440796684</v>
      </c>
      <c r="AR37" s="6">
        <f t="shared" si="149"/>
        <v>0.30261972047136204</v>
      </c>
      <c r="AS37" s="2">
        <f t="shared" si="150"/>
        <v>1.1391887869976538</v>
      </c>
      <c r="AT37" s="2">
        <f t="shared" si="151"/>
        <v>0.55239964391670093</v>
      </c>
      <c r="AU37" s="2">
        <f t="shared" si="152"/>
        <v>0.52112773584725591</v>
      </c>
      <c r="AV37" s="2">
        <f t="shared" si="153"/>
        <v>1.0097529761708555</v>
      </c>
      <c r="AW37" s="2">
        <f t="shared" si="154"/>
        <v>1.0085266512456399</v>
      </c>
      <c r="AX37" s="2">
        <f t="shared" si="155"/>
        <v>0.9988971564843997</v>
      </c>
      <c r="AY37" s="2">
        <f t="shared" si="156"/>
        <v>1.0017861720047834</v>
      </c>
    </row>
    <row r="38" spans="1:51" x14ac:dyDescent="0.5">
      <c r="A38" t="s">
        <v>87</v>
      </c>
      <c r="B38">
        <v>50</v>
      </c>
      <c r="C38">
        <v>50</v>
      </c>
      <c r="D38">
        <v>35</v>
      </c>
      <c r="E38">
        <v>50</v>
      </c>
      <c r="F38">
        <v>50</v>
      </c>
      <c r="G38">
        <v>50</v>
      </c>
      <c r="H38">
        <v>100000</v>
      </c>
      <c r="I38">
        <v>49676</v>
      </c>
      <c r="J38">
        <f t="shared" si="10"/>
        <v>50324</v>
      </c>
      <c r="K38">
        <v>432825</v>
      </c>
      <c r="L38">
        <v>436309</v>
      </c>
      <c r="M38">
        <v>413894</v>
      </c>
      <c r="N38">
        <v>51418</v>
      </c>
      <c r="O38">
        <v>107165</v>
      </c>
      <c r="P38">
        <v>14303</v>
      </c>
      <c r="Q38">
        <v>1083</v>
      </c>
      <c r="R38">
        <v>11991</v>
      </c>
      <c r="S38">
        <v>42645</v>
      </c>
      <c r="T38">
        <v>159607</v>
      </c>
      <c r="U38">
        <v>33455</v>
      </c>
      <c r="V38">
        <v>97197</v>
      </c>
      <c r="W38">
        <v>3446</v>
      </c>
      <c r="X38">
        <v>2690</v>
      </c>
      <c r="Y38" s="6">
        <v>0.25900000000000001</v>
      </c>
      <c r="Z38" s="6">
        <v>0.315</v>
      </c>
      <c r="AA38" s="6">
        <v>0.38600000000000001</v>
      </c>
      <c r="AB38" s="6">
        <v>0.70099999999999996</v>
      </c>
      <c r="AC38" s="9">
        <f t="shared" si="136"/>
        <v>0.49675999999999998</v>
      </c>
      <c r="AD38" s="6">
        <f t="shared" si="137"/>
        <v>4.3282499999999997</v>
      </c>
      <c r="AE38" s="12">
        <f t="shared" si="138"/>
        <v>-0.62640000000000295</v>
      </c>
      <c r="AF38" s="4">
        <f t="shared" si="139"/>
        <v>-7.5389400000001086</v>
      </c>
      <c r="AG38" s="6">
        <f t="shared" si="140"/>
        <v>4.3630899999999997</v>
      </c>
      <c r="AH38">
        <f t="shared" si="141"/>
        <v>456296</v>
      </c>
      <c r="AI38" s="2">
        <f t="shared" si="142"/>
        <v>0.17486017848063537</v>
      </c>
      <c r="AJ38" s="9">
        <f t="shared" si="143"/>
        <v>3.1345880744078403E-2</v>
      </c>
      <c r="AK38" s="9">
        <f t="shared" si="144"/>
        <v>2.3734593334151515E-3</v>
      </c>
      <c r="AL38" s="9">
        <f t="shared" si="145"/>
        <v>2.6278994337009309E-2</v>
      </c>
      <c r="AM38" s="9">
        <f t="shared" si="146"/>
        <v>7.3318635271841084E-2</v>
      </c>
      <c r="AN38" s="2">
        <f t="shared" si="147"/>
        <v>0.21301304416431438</v>
      </c>
      <c r="AO38" s="7">
        <f t="shared" si="148"/>
        <v>0.45880980766870627</v>
      </c>
      <c r="AP38" s="4">
        <f t="shared" si="28"/>
        <v>-7.2724213326714562</v>
      </c>
      <c r="AQ38" s="4">
        <f t="shared" si="29"/>
        <v>-0.4357355480604605</v>
      </c>
      <c r="AR38" s="6">
        <f t="shared" si="149"/>
        <v>0.30397910566825043</v>
      </c>
      <c r="AS38" s="2">
        <f t="shared" si="150"/>
        <v>1.1120301073351919</v>
      </c>
      <c r="AT38" s="2">
        <f t="shared" si="151"/>
        <v>0.6513823640755293</v>
      </c>
      <c r="AU38" s="2">
        <f t="shared" si="152"/>
        <v>0.62477279314954193</v>
      </c>
      <c r="AV38" s="2">
        <f t="shared" si="153"/>
        <v>0.99912583805561739</v>
      </c>
      <c r="AW38" s="2">
        <f t="shared" si="154"/>
        <v>0.99397662171446988</v>
      </c>
      <c r="AX38" s="2">
        <f t="shared" si="155"/>
        <v>1.0063084852464246</v>
      </c>
      <c r="AY38" s="2">
        <f t="shared" si="156"/>
        <v>0.99938470044088057</v>
      </c>
    </row>
    <row r="39" spans="1:51" x14ac:dyDescent="0.5">
      <c r="A39" t="s">
        <v>88</v>
      </c>
      <c r="B39">
        <v>50</v>
      </c>
      <c r="C39">
        <v>50</v>
      </c>
      <c r="D39">
        <v>40</v>
      </c>
      <c r="E39">
        <v>50</v>
      </c>
      <c r="F39">
        <v>50</v>
      </c>
      <c r="G39">
        <v>50</v>
      </c>
      <c r="H39">
        <v>100000</v>
      </c>
      <c r="I39">
        <v>49790</v>
      </c>
      <c r="J39">
        <f t="shared" si="10"/>
        <v>50210</v>
      </c>
      <c r="K39">
        <v>433723</v>
      </c>
      <c r="L39">
        <v>434860</v>
      </c>
      <c r="M39">
        <v>414341</v>
      </c>
      <c r="N39">
        <v>52053</v>
      </c>
      <c r="O39">
        <v>108002</v>
      </c>
      <c r="P39">
        <v>17190</v>
      </c>
      <c r="Q39">
        <v>1317</v>
      </c>
      <c r="R39">
        <v>12283</v>
      </c>
      <c r="S39">
        <v>43772</v>
      </c>
      <c r="T39">
        <v>164675</v>
      </c>
      <c r="U39">
        <v>33734</v>
      </c>
      <c r="V39">
        <v>96461</v>
      </c>
      <c r="W39">
        <v>3258</v>
      </c>
      <c r="X39">
        <v>2680</v>
      </c>
      <c r="Y39" s="6">
        <v>0.26100000000000001</v>
      </c>
      <c r="Z39" s="6">
        <v>0.317</v>
      </c>
      <c r="AA39" s="6">
        <v>0.39700000000000002</v>
      </c>
      <c r="AB39" s="6">
        <v>0.71399999999999997</v>
      </c>
      <c r="AC39" s="9">
        <f t="shared" si="136"/>
        <v>0.49790000000000001</v>
      </c>
      <c r="AD39" s="6">
        <f t="shared" si="137"/>
        <v>4.3372299999999999</v>
      </c>
      <c r="AE39" s="12">
        <f t="shared" si="138"/>
        <v>-0.44171999999999811</v>
      </c>
      <c r="AF39" s="4">
        <f t="shared" si="139"/>
        <v>-6.0841800000000745</v>
      </c>
      <c r="AG39" s="6">
        <f t="shared" si="140"/>
        <v>4.3486000000000002</v>
      </c>
      <c r="AH39">
        <f t="shared" si="141"/>
        <v>457037</v>
      </c>
      <c r="AI39" s="2">
        <f t="shared" si="142"/>
        <v>0.16894037025448705</v>
      </c>
      <c r="AJ39" s="9">
        <f t="shared" si="143"/>
        <v>3.7611834490424191E-2</v>
      </c>
      <c r="AK39" s="9">
        <f t="shared" si="144"/>
        <v>2.8816047716049248E-3</v>
      </c>
      <c r="AL39" s="9">
        <f t="shared" si="145"/>
        <v>2.6875285808370002E-2</v>
      </c>
      <c r="AM39" s="9">
        <f t="shared" si="146"/>
        <v>7.3810216678299567E-2</v>
      </c>
      <c r="AN39" s="2">
        <f t="shared" si="147"/>
        <v>0.21105731045845302</v>
      </c>
      <c r="AO39" s="7">
        <f t="shared" si="148"/>
        <v>0.45882337753836122</v>
      </c>
      <c r="AP39" s="4">
        <f t="shared" si="28"/>
        <v>-5.1236049542853834</v>
      </c>
      <c r="AQ39" s="4">
        <f t="shared" si="29"/>
        <v>-0.22716859653515131</v>
      </c>
      <c r="AR39" s="6">
        <f t="shared" si="149"/>
        <v>0.3087304747755652</v>
      </c>
      <c r="AS39" s="2">
        <f t="shared" si="150"/>
        <v>1.0743828566327887</v>
      </c>
      <c r="AT39" s="2">
        <f t="shared" si="151"/>
        <v>0.78159187382917339</v>
      </c>
      <c r="AU39" s="2">
        <f t="shared" si="152"/>
        <v>0.75853343537938367</v>
      </c>
      <c r="AV39" s="2">
        <f t="shared" si="153"/>
        <v>1.0217968051561215</v>
      </c>
      <c r="AW39" s="2">
        <f t="shared" si="154"/>
        <v>1.0006409632407081</v>
      </c>
      <c r="AX39" s="2">
        <f t="shared" si="155"/>
        <v>0.99706927911793708</v>
      </c>
      <c r="AY39" s="2">
        <f t="shared" si="156"/>
        <v>0.99941425848409038</v>
      </c>
    </row>
    <row r="40" spans="1:51" x14ac:dyDescent="0.5">
      <c r="A40" t="s">
        <v>82</v>
      </c>
      <c r="B40">
        <v>50</v>
      </c>
      <c r="C40">
        <v>50</v>
      </c>
      <c r="D40">
        <v>45</v>
      </c>
      <c r="E40">
        <v>50</v>
      </c>
      <c r="F40">
        <v>50</v>
      </c>
      <c r="G40">
        <v>50</v>
      </c>
      <c r="H40">
        <v>100000</v>
      </c>
      <c r="I40">
        <v>49878</v>
      </c>
      <c r="J40">
        <f t="shared" si="10"/>
        <v>50122</v>
      </c>
      <c r="K40">
        <v>432227</v>
      </c>
      <c r="L40">
        <v>434360</v>
      </c>
      <c r="M40">
        <v>414300</v>
      </c>
      <c r="N40">
        <v>52394</v>
      </c>
      <c r="O40">
        <v>107201</v>
      </c>
      <c r="P40">
        <v>19823</v>
      </c>
      <c r="Q40">
        <v>1610</v>
      </c>
      <c r="R40">
        <v>12215</v>
      </c>
      <c r="S40">
        <v>44060</v>
      </c>
      <c r="T40">
        <v>166889</v>
      </c>
      <c r="U40">
        <v>33875</v>
      </c>
      <c r="V40">
        <v>97041</v>
      </c>
      <c r="W40">
        <v>3222</v>
      </c>
      <c r="X40">
        <v>2603</v>
      </c>
      <c r="Y40" s="6">
        <v>0.25900000000000001</v>
      </c>
      <c r="Z40" s="6">
        <v>0.316</v>
      </c>
      <c r="AA40" s="6">
        <v>0.40300000000000002</v>
      </c>
      <c r="AB40" s="6">
        <v>0.71799999999999997</v>
      </c>
      <c r="AC40" s="9">
        <f t="shared" si="136"/>
        <v>0.49878</v>
      </c>
      <c r="AD40" s="6">
        <f t="shared" si="137"/>
        <v>4.3222699999999996</v>
      </c>
      <c r="AE40" s="12">
        <f t="shared" si="138"/>
        <v>-0.29915999999999943</v>
      </c>
      <c r="AF40" s="4">
        <f t="shared" si="139"/>
        <v>-8.5077000000001242</v>
      </c>
      <c r="AG40" s="6">
        <f t="shared" si="140"/>
        <v>4.3436000000000003</v>
      </c>
      <c r="AH40">
        <f t="shared" si="141"/>
        <v>457139</v>
      </c>
      <c r="AI40" s="2">
        <f t="shared" si="142"/>
        <v>0.16089854508147414</v>
      </c>
      <c r="AJ40" s="9">
        <f t="shared" si="143"/>
        <v>4.3363178376817552E-2</v>
      </c>
      <c r="AK40" s="9">
        <f t="shared" si="144"/>
        <v>3.5219047160710421E-3</v>
      </c>
      <c r="AL40" s="9">
        <f t="shared" si="145"/>
        <v>2.6720537954538992E-2</v>
      </c>
      <c r="AM40" s="9">
        <f t="shared" si="146"/>
        <v>7.410218773720903E-2</v>
      </c>
      <c r="AN40" s="2">
        <f t="shared" si="147"/>
        <v>0.21227897860388198</v>
      </c>
      <c r="AO40" s="7">
        <f t="shared" si="148"/>
        <v>0.45911466753000718</v>
      </c>
      <c r="AP40" s="4">
        <f t="shared" si="28"/>
        <v>-4.349632634140562</v>
      </c>
      <c r="AQ40" s="4">
        <f t="shared" si="29"/>
        <v>-0.1520458224343606</v>
      </c>
      <c r="AR40" s="6">
        <f t="shared" si="149"/>
        <v>0.30953182729979284</v>
      </c>
      <c r="AS40" s="2">
        <f t="shared" si="150"/>
        <v>1.0232405566075902</v>
      </c>
      <c r="AT40" s="2">
        <f t="shared" si="151"/>
        <v>0.90110754505618051</v>
      </c>
      <c r="AU40" s="2">
        <f t="shared" si="152"/>
        <v>0.92708150322513661</v>
      </c>
      <c r="AV40" s="2">
        <f t="shared" si="153"/>
        <v>1.0159133007433032</v>
      </c>
      <c r="AW40" s="2">
        <f t="shared" si="154"/>
        <v>1.0045991984928677</v>
      </c>
      <c r="AX40" s="2">
        <f t="shared" si="155"/>
        <v>1.0028406393917806</v>
      </c>
      <c r="AY40" s="2">
        <f t="shared" si="156"/>
        <v>1.0000487496309158</v>
      </c>
    </row>
    <row r="41" spans="1:51" x14ac:dyDescent="0.5">
      <c r="A41" t="s">
        <v>89</v>
      </c>
      <c r="B41">
        <v>50</v>
      </c>
      <c r="C41">
        <v>50</v>
      </c>
      <c r="D41">
        <v>55</v>
      </c>
      <c r="E41">
        <v>50</v>
      </c>
      <c r="F41">
        <v>50</v>
      </c>
      <c r="G41">
        <v>50</v>
      </c>
      <c r="H41">
        <v>100000</v>
      </c>
      <c r="I41">
        <v>49917</v>
      </c>
      <c r="J41">
        <f t="shared" si="10"/>
        <v>50083</v>
      </c>
      <c r="K41">
        <v>434010</v>
      </c>
      <c r="L41">
        <v>435260</v>
      </c>
      <c r="M41">
        <v>414376</v>
      </c>
      <c r="N41">
        <v>52946</v>
      </c>
      <c r="O41">
        <v>107732</v>
      </c>
      <c r="P41">
        <v>23395</v>
      </c>
      <c r="Q41">
        <v>1764</v>
      </c>
      <c r="R41">
        <v>12184</v>
      </c>
      <c r="S41">
        <v>45318</v>
      </c>
      <c r="T41">
        <v>171207</v>
      </c>
      <c r="U41">
        <v>33767</v>
      </c>
      <c r="V41">
        <v>96470</v>
      </c>
      <c r="W41">
        <v>3240</v>
      </c>
      <c r="X41">
        <v>2531</v>
      </c>
      <c r="Y41" s="6">
        <v>0.26</v>
      </c>
      <c r="Z41" s="6">
        <v>0.316</v>
      </c>
      <c r="AA41" s="6">
        <v>0.41299999999999998</v>
      </c>
      <c r="AB41" s="6">
        <v>0.73</v>
      </c>
      <c r="AC41" s="9">
        <f t="shared" si="136"/>
        <v>0.49917</v>
      </c>
      <c r="AD41" s="6">
        <f t="shared" si="137"/>
        <v>4.3400999999999996</v>
      </c>
      <c r="AE41" s="12">
        <f t="shared" si="138"/>
        <v>-0.23597999999999919</v>
      </c>
      <c r="AF41" s="4">
        <f t="shared" si="139"/>
        <v>-5.6192400000001221</v>
      </c>
      <c r="AG41" s="6">
        <f t="shared" si="140"/>
        <v>4.3525999999999998</v>
      </c>
      <c r="AH41">
        <f t="shared" si="141"/>
        <v>457106</v>
      </c>
      <c r="AI41" s="2">
        <f t="shared" si="142"/>
        <v>0.15398835281094539</v>
      </c>
      <c r="AJ41" s="9">
        <f t="shared" si="143"/>
        <v>5.1180688943046032E-2</v>
      </c>
      <c r="AK41" s="9">
        <f t="shared" si="144"/>
        <v>3.8590611368041548E-3</v>
      </c>
      <c r="AL41" s="9">
        <f t="shared" si="145"/>
        <v>2.6654649031078132E-2</v>
      </c>
      <c r="AM41" s="9">
        <f t="shared" si="146"/>
        <v>7.3871268371012419E-2</v>
      </c>
      <c r="AN41" s="2">
        <f t="shared" si="147"/>
        <v>0.21104514051445397</v>
      </c>
      <c r="AO41" s="7">
        <f t="shared" si="148"/>
        <v>0.45940083919265984</v>
      </c>
      <c r="AP41" s="4">
        <f t="shared" si="28"/>
        <v>-3.7317042544268588</v>
      </c>
      <c r="AQ41" s="4">
        <f t="shared" si="29"/>
        <v>-9.206887898111904E-2</v>
      </c>
      <c r="AR41" s="6">
        <f t="shared" si="149"/>
        <v>0.31323758603037372</v>
      </c>
      <c r="AS41" s="2">
        <f t="shared" si="150"/>
        <v>0.97929492004772656</v>
      </c>
      <c r="AT41" s="2">
        <f t="shared" si="151"/>
        <v>1.063559146125878</v>
      </c>
      <c r="AU41" s="2">
        <f t="shared" si="152"/>
        <v>1.0158321954085296</v>
      </c>
      <c r="AV41" s="2">
        <f t="shared" si="153"/>
        <v>1.0134082077010365</v>
      </c>
      <c r="AW41" s="2">
        <f t="shared" si="154"/>
        <v>1.0014686376109099</v>
      </c>
      <c r="AX41" s="2">
        <f t="shared" si="155"/>
        <v>0.99701178631058684</v>
      </c>
      <c r="AY41" s="2">
        <f t="shared" si="156"/>
        <v>1.0006720919757712</v>
      </c>
    </row>
    <row r="42" spans="1:51" x14ac:dyDescent="0.5">
      <c r="A42" t="s">
        <v>90</v>
      </c>
      <c r="B42">
        <v>50</v>
      </c>
      <c r="C42">
        <v>50</v>
      </c>
      <c r="D42">
        <v>60</v>
      </c>
      <c r="E42">
        <v>50</v>
      </c>
      <c r="F42">
        <v>50</v>
      </c>
      <c r="G42">
        <v>50</v>
      </c>
      <c r="H42">
        <v>100000</v>
      </c>
      <c r="I42">
        <v>50096</v>
      </c>
      <c r="J42">
        <f t="shared" si="10"/>
        <v>49904</v>
      </c>
      <c r="K42">
        <v>436085</v>
      </c>
      <c r="L42">
        <v>434496</v>
      </c>
      <c r="M42">
        <v>414639</v>
      </c>
      <c r="N42">
        <v>52939</v>
      </c>
      <c r="O42">
        <v>108103</v>
      </c>
      <c r="P42">
        <v>24438</v>
      </c>
      <c r="Q42">
        <v>1884</v>
      </c>
      <c r="R42">
        <v>12102</v>
      </c>
      <c r="S42">
        <v>45407</v>
      </c>
      <c r="T42">
        <v>172615</v>
      </c>
      <c r="U42">
        <v>33670</v>
      </c>
      <c r="V42">
        <v>96666</v>
      </c>
      <c r="W42">
        <v>3158</v>
      </c>
      <c r="X42">
        <v>2470</v>
      </c>
      <c r="Y42" s="6">
        <v>0.26100000000000001</v>
      </c>
      <c r="Z42" s="6">
        <v>0.317</v>
      </c>
      <c r="AA42" s="6">
        <v>0.41599999999999998</v>
      </c>
      <c r="AB42" s="6">
        <v>0.73299999999999998</v>
      </c>
      <c r="AC42" s="9">
        <f t="shared" si="136"/>
        <v>0.50095999999999996</v>
      </c>
      <c r="AD42" s="6">
        <f t="shared" si="137"/>
        <v>4.3608500000000001</v>
      </c>
      <c r="AE42" s="12">
        <f t="shared" si="138"/>
        <v>5.3999999999994053E-2</v>
      </c>
      <c r="AF42" s="4">
        <f t="shared" si="139"/>
        <v>-2.2577400000000427</v>
      </c>
      <c r="AG42" s="6">
        <f t="shared" si="140"/>
        <v>4.3449600000000004</v>
      </c>
      <c r="AH42">
        <f t="shared" si="141"/>
        <v>457275</v>
      </c>
      <c r="AI42" s="2">
        <f t="shared" si="142"/>
        <v>0.15237876551309387</v>
      </c>
      <c r="AJ42" s="9">
        <f t="shared" si="143"/>
        <v>5.3442676726258818E-2</v>
      </c>
      <c r="AK42" s="9">
        <f t="shared" si="144"/>
        <v>4.1200590454321794E-3</v>
      </c>
      <c r="AL42" s="9">
        <f t="shared" si="145"/>
        <v>2.646547482368378E-2</v>
      </c>
      <c r="AM42" s="9">
        <f t="shared" si="146"/>
        <v>7.3631840796019907E-2</v>
      </c>
      <c r="AN42" s="2">
        <f t="shared" si="147"/>
        <v>0.2113957684106938</v>
      </c>
      <c r="AO42" s="7">
        <f t="shared" si="148"/>
        <v>0.45856541468481771</v>
      </c>
      <c r="AP42" s="4">
        <f t="shared" si="28"/>
        <v>-3.1677594313437112</v>
      </c>
      <c r="AQ42" s="4">
        <f t="shared" si="29"/>
        <v>-3.7331650727454202E-2</v>
      </c>
      <c r="AR42" s="6">
        <f t="shared" si="149"/>
        <v>0.31445970149253732</v>
      </c>
      <c r="AS42" s="2">
        <f t="shared" si="150"/>
        <v>0.9690586870120077</v>
      </c>
      <c r="AT42" s="2">
        <f t="shared" si="151"/>
        <v>1.1105643319673209</v>
      </c>
      <c r="AU42" s="2">
        <f t="shared" si="152"/>
        <v>1.0845354548594037</v>
      </c>
      <c r="AV42" s="2">
        <f t="shared" si="153"/>
        <v>1.0062158153256857</v>
      </c>
      <c r="AW42" s="2">
        <f t="shared" si="154"/>
        <v>0.9982227314200216</v>
      </c>
      <c r="AX42" s="2">
        <f t="shared" si="155"/>
        <v>0.99866820988095784</v>
      </c>
      <c r="AY42" s="2">
        <f t="shared" si="156"/>
        <v>0.99885236088555518</v>
      </c>
    </row>
    <row r="43" spans="1:51" x14ac:dyDescent="0.5">
      <c r="A43" t="s">
        <v>91</v>
      </c>
      <c r="B43">
        <v>50</v>
      </c>
      <c r="C43">
        <v>50</v>
      </c>
      <c r="D43">
        <v>65</v>
      </c>
      <c r="E43">
        <v>50</v>
      </c>
      <c r="F43">
        <v>50</v>
      </c>
      <c r="G43">
        <v>50</v>
      </c>
      <c r="H43">
        <v>100000</v>
      </c>
      <c r="I43">
        <v>50358</v>
      </c>
      <c r="J43">
        <f t="shared" si="10"/>
        <v>49642</v>
      </c>
      <c r="K43">
        <v>435045</v>
      </c>
      <c r="L43">
        <v>434077</v>
      </c>
      <c r="M43">
        <v>414718</v>
      </c>
      <c r="N43">
        <v>53248</v>
      </c>
      <c r="O43">
        <v>107845</v>
      </c>
      <c r="P43">
        <v>25593</v>
      </c>
      <c r="Q43">
        <v>1985</v>
      </c>
      <c r="R43">
        <v>11995</v>
      </c>
      <c r="S43">
        <v>45762</v>
      </c>
      <c r="T43">
        <v>173393</v>
      </c>
      <c r="U43">
        <v>33560</v>
      </c>
      <c r="V43">
        <v>96889</v>
      </c>
      <c r="W43">
        <v>3121</v>
      </c>
      <c r="X43">
        <v>2479</v>
      </c>
      <c r="Y43" s="6">
        <v>0.26</v>
      </c>
      <c r="Z43" s="6">
        <v>0.316</v>
      </c>
      <c r="AA43" s="6">
        <v>0.41799999999999998</v>
      </c>
      <c r="AB43" s="6">
        <v>0.73399999999999999</v>
      </c>
      <c r="AC43" s="9">
        <f t="shared" si="136"/>
        <v>0.50358000000000003</v>
      </c>
      <c r="AD43" s="6">
        <f t="shared" si="137"/>
        <v>4.3504500000000004</v>
      </c>
      <c r="AE43" s="12">
        <f t="shared" si="138"/>
        <v>0.47844000000000486</v>
      </c>
      <c r="AF43" s="4">
        <f t="shared" si="139"/>
        <v>-3.942540000000001</v>
      </c>
      <c r="AG43" s="6">
        <f t="shared" si="140"/>
        <v>4.34077</v>
      </c>
      <c r="AH43">
        <f t="shared" si="141"/>
        <v>457244</v>
      </c>
      <c r="AI43" s="2">
        <f t="shared" si="142"/>
        <v>0.14931196472780398</v>
      </c>
      <c r="AJ43" s="9">
        <f t="shared" si="143"/>
        <v>5.5972303627822344E-2</v>
      </c>
      <c r="AK43" s="9">
        <f t="shared" si="144"/>
        <v>4.3412270035254703E-3</v>
      </c>
      <c r="AL43" s="9">
        <f t="shared" si="145"/>
        <v>2.6233258391580864E-2</v>
      </c>
      <c r="AM43" s="9">
        <f t="shared" si="146"/>
        <v>7.3396261077236666E-2</v>
      </c>
      <c r="AN43" s="2">
        <f t="shared" si="147"/>
        <v>0.21189780511061929</v>
      </c>
      <c r="AO43" s="7">
        <f t="shared" si="148"/>
        <v>0.45884718006141134</v>
      </c>
      <c r="AP43" s="4">
        <f t="shared" si="28"/>
        <v>-3.1795574854982078</v>
      </c>
      <c r="AQ43" s="4">
        <f t="shared" si="29"/>
        <v>-3.847678542285432E-2</v>
      </c>
      <c r="AR43" s="6">
        <f t="shared" si="149"/>
        <v>0.31455890071821607</v>
      </c>
      <c r="AS43" s="2">
        <f t="shared" si="150"/>
        <v>0.94955524811543091</v>
      </c>
      <c r="AT43" s="2">
        <f t="shared" si="151"/>
        <v>1.1631311864392848</v>
      </c>
      <c r="AU43" s="2">
        <f t="shared" si="152"/>
        <v>1.1427541574037192</v>
      </c>
      <c r="AV43" s="2">
        <f t="shared" si="153"/>
        <v>0.99738696006738681</v>
      </c>
      <c r="AW43" s="2">
        <f t="shared" si="154"/>
        <v>0.9950289903997146</v>
      </c>
      <c r="AX43" s="2">
        <f t="shared" si="155"/>
        <v>1.0010399134215655</v>
      </c>
      <c r="AY43" s="2">
        <f t="shared" si="156"/>
        <v>0.99946610540839453</v>
      </c>
    </row>
    <row r="44" spans="1:51" x14ac:dyDescent="0.5">
      <c r="A44" t="s">
        <v>92</v>
      </c>
      <c r="B44">
        <v>50</v>
      </c>
      <c r="C44">
        <v>50</v>
      </c>
      <c r="D44">
        <v>70</v>
      </c>
      <c r="E44">
        <v>50</v>
      </c>
      <c r="F44">
        <v>50</v>
      </c>
      <c r="G44">
        <v>50</v>
      </c>
      <c r="H44">
        <v>100000</v>
      </c>
      <c r="I44">
        <v>50216</v>
      </c>
      <c r="J44">
        <f t="shared" si="10"/>
        <v>49784</v>
      </c>
      <c r="K44">
        <v>435508</v>
      </c>
      <c r="L44">
        <v>434583</v>
      </c>
      <c r="M44">
        <v>414861</v>
      </c>
      <c r="N44">
        <v>53331</v>
      </c>
      <c r="O44">
        <v>107736</v>
      </c>
      <c r="P44">
        <v>26375</v>
      </c>
      <c r="Q44">
        <v>2090</v>
      </c>
      <c r="R44">
        <v>12283</v>
      </c>
      <c r="S44">
        <v>46216</v>
      </c>
      <c r="T44">
        <v>175140</v>
      </c>
      <c r="U44">
        <v>33586</v>
      </c>
      <c r="V44">
        <v>97248</v>
      </c>
      <c r="W44">
        <v>3180</v>
      </c>
      <c r="X44">
        <v>2564</v>
      </c>
      <c r="Y44" s="6">
        <v>0.26</v>
      </c>
      <c r="Z44" s="6">
        <v>0.316</v>
      </c>
      <c r="AA44" s="6">
        <v>0.42199999999999999</v>
      </c>
      <c r="AB44" s="6">
        <v>0.73799999999999999</v>
      </c>
      <c r="AC44" s="9">
        <f t="shared" si="136"/>
        <v>0.50216000000000005</v>
      </c>
      <c r="AD44" s="6">
        <f t="shared" si="137"/>
        <v>4.3550800000000001</v>
      </c>
      <c r="AE44" s="12">
        <f t="shared" si="138"/>
        <v>0.24840000000000861</v>
      </c>
      <c r="AF44" s="4">
        <f t="shared" si="139"/>
        <v>-3.1924800000000513</v>
      </c>
      <c r="AG44" s="6">
        <f t="shared" si="140"/>
        <v>4.3458300000000003</v>
      </c>
      <c r="AH44">
        <f t="shared" si="141"/>
        <v>457416</v>
      </c>
      <c r="AI44" s="2">
        <f t="shared" si="142"/>
        <v>0.14644874687374293</v>
      </c>
      <c r="AJ44" s="9">
        <f t="shared" si="143"/>
        <v>5.7660860136068699E-2</v>
      </c>
      <c r="AK44" s="9">
        <f t="shared" si="144"/>
        <v>4.5691449359007994E-3</v>
      </c>
      <c r="AL44" s="9">
        <f t="shared" si="145"/>
        <v>2.6853017821851444E-2</v>
      </c>
      <c r="AM44" s="9">
        <f t="shared" si="146"/>
        <v>7.342550326180107E-2</v>
      </c>
      <c r="AN44" s="2">
        <f t="shared" si="147"/>
        <v>0.21260296972558895</v>
      </c>
      <c r="AO44" s="7">
        <f t="shared" si="148"/>
        <v>0.45843975724504604</v>
      </c>
      <c r="AP44" s="4">
        <f t="shared" si="28"/>
        <v>-2.2752683105823053</v>
      </c>
      <c r="AQ44" s="4">
        <f t="shared" si="29"/>
        <v>4.9294714462679773E-2</v>
      </c>
      <c r="AR44" s="6">
        <f t="shared" si="149"/>
        <v>0.31566095195620614</v>
      </c>
      <c r="AS44" s="2">
        <f t="shared" si="150"/>
        <v>0.93134650278964393</v>
      </c>
      <c r="AT44" s="2">
        <f t="shared" si="151"/>
        <v>1.198220196673091</v>
      </c>
      <c r="AU44" s="2">
        <f t="shared" si="152"/>
        <v>1.2027496758498302</v>
      </c>
      <c r="AV44" s="2">
        <f t="shared" si="153"/>
        <v>1.02095017760231</v>
      </c>
      <c r="AW44" s="2">
        <f t="shared" si="154"/>
        <v>0.99542542505397558</v>
      </c>
      <c r="AX44" s="2">
        <f t="shared" si="155"/>
        <v>1.0043712264795213</v>
      </c>
      <c r="AY44" s="2">
        <f t="shared" si="156"/>
        <v>0.99857865243228017</v>
      </c>
    </row>
    <row r="45" spans="1:51" x14ac:dyDescent="0.5">
      <c r="A45" t="s">
        <v>93</v>
      </c>
      <c r="B45">
        <v>50</v>
      </c>
      <c r="C45">
        <v>50</v>
      </c>
      <c r="D45">
        <v>75</v>
      </c>
      <c r="E45">
        <v>50</v>
      </c>
      <c r="F45">
        <v>50</v>
      </c>
      <c r="G45">
        <v>50</v>
      </c>
      <c r="H45">
        <v>100000</v>
      </c>
      <c r="I45">
        <v>50199</v>
      </c>
      <c r="J45">
        <f t="shared" si="10"/>
        <v>49801</v>
      </c>
      <c r="K45">
        <v>435945</v>
      </c>
      <c r="L45">
        <v>435853</v>
      </c>
      <c r="M45">
        <v>414898</v>
      </c>
      <c r="N45">
        <v>53912</v>
      </c>
      <c r="O45">
        <v>107940</v>
      </c>
      <c r="P45">
        <v>27846</v>
      </c>
      <c r="Q45">
        <v>2259</v>
      </c>
      <c r="R45">
        <v>12139</v>
      </c>
      <c r="S45">
        <v>46132</v>
      </c>
      <c r="T45">
        <v>176721</v>
      </c>
      <c r="U45">
        <v>33688</v>
      </c>
      <c r="V45">
        <v>97095</v>
      </c>
      <c r="W45">
        <v>3047</v>
      </c>
      <c r="X45">
        <v>2538</v>
      </c>
      <c r="Y45" s="6">
        <v>0.26</v>
      </c>
      <c r="Z45" s="6">
        <v>0.317</v>
      </c>
      <c r="AA45" s="6">
        <v>0.42599999999999999</v>
      </c>
      <c r="AB45" s="6">
        <v>0.74299999999999999</v>
      </c>
      <c r="AC45" s="9">
        <f t="shared" si="136"/>
        <v>0.50199000000000005</v>
      </c>
      <c r="AD45" s="6">
        <f t="shared" si="137"/>
        <v>4.3594499999999998</v>
      </c>
      <c r="AE45" s="12">
        <f t="shared" si="138"/>
        <v>0.22086000000000805</v>
      </c>
      <c r="AF45" s="4">
        <f t="shared" si="139"/>
        <v>-2.4845400000000897</v>
      </c>
      <c r="AG45" s="6">
        <f t="shared" si="140"/>
        <v>4.35853</v>
      </c>
      <c r="AH45">
        <f t="shared" si="141"/>
        <v>457558</v>
      </c>
      <c r="AI45" s="2">
        <f t="shared" si="142"/>
        <v>0.14357961176506584</v>
      </c>
      <c r="AJ45" s="9">
        <f t="shared" si="143"/>
        <v>6.0857858457288472E-2</v>
      </c>
      <c r="AK45" s="9">
        <f t="shared" si="144"/>
        <v>4.9370790151193949E-3</v>
      </c>
      <c r="AL45" s="9">
        <f t="shared" si="145"/>
        <v>2.6529969971020067E-2</v>
      </c>
      <c r="AM45" s="9">
        <f t="shared" si="146"/>
        <v>7.3625638716840275E-2</v>
      </c>
      <c r="AN45" s="2">
        <f t="shared" si="147"/>
        <v>0.21220260600841861</v>
      </c>
      <c r="AO45" s="7">
        <f t="shared" si="148"/>
        <v>0.45826723606624742</v>
      </c>
      <c r="AP45" s="4">
        <f t="shared" si="28"/>
        <v>-1.5090944434200537</v>
      </c>
      <c r="AQ45" s="4">
        <f t="shared" si="29"/>
        <v>0.12366056043245457</v>
      </c>
      <c r="AR45" s="6">
        <f t="shared" si="149"/>
        <v>0.31713113965879736</v>
      </c>
      <c r="AS45" s="2">
        <f t="shared" si="150"/>
        <v>0.91310012645293737</v>
      </c>
      <c r="AT45" s="2">
        <f t="shared" si="151"/>
        <v>1.2646553477994487</v>
      </c>
      <c r="AU45" s="2">
        <f t="shared" si="152"/>
        <v>1.2996020630519067</v>
      </c>
      <c r="AV45" s="2">
        <f t="shared" si="153"/>
        <v>1.0086679170806656</v>
      </c>
      <c r="AW45" s="2">
        <f t="shared" si="154"/>
        <v>0.99813865018081527</v>
      </c>
      <c r="AX45" s="2">
        <f t="shared" si="155"/>
        <v>1.0024798427506332</v>
      </c>
      <c r="AY45" s="2">
        <f t="shared" si="156"/>
        <v>0.99820286485382925</v>
      </c>
    </row>
    <row r="46" spans="1:51" x14ac:dyDescent="0.5">
      <c r="A46" t="s">
        <v>94</v>
      </c>
      <c r="B46">
        <v>50</v>
      </c>
      <c r="C46">
        <v>50</v>
      </c>
      <c r="D46">
        <v>80</v>
      </c>
      <c r="E46">
        <v>50</v>
      </c>
      <c r="F46">
        <v>50</v>
      </c>
      <c r="G46">
        <v>50</v>
      </c>
      <c r="H46">
        <v>100000</v>
      </c>
      <c r="I46">
        <v>50277</v>
      </c>
      <c r="J46">
        <f t="shared" si="10"/>
        <v>49723</v>
      </c>
      <c r="K46">
        <v>437291</v>
      </c>
      <c r="L46">
        <v>435403</v>
      </c>
      <c r="M46">
        <v>415434</v>
      </c>
      <c r="N46">
        <v>54225</v>
      </c>
      <c r="O46">
        <v>107972</v>
      </c>
      <c r="P46">
        <v>28997</v>
      </c>
      <c r="Q46">
        <v>2211</v>
      </c>
      <c r="R46">
        <v>12291</v>
      </c>
      <c r="S46">
        <v>46684</v>
      </c>
      <c r="T46">
        <v>178264</v>
      </c>
      <c r="U46">
        <v>33730</v>
      </c>
      <c r="V46">
        <v>97189</v>
      </c>
      <c r="W46">
        <v>3150</v>
      </c>
      <c r="X46">
        <v>2510</v>
      </c>
      <c r="Y46" s="6">
        <v>0.26</v>
      </c>
      <c r="Z46" s="6">
        <v>0.316</v>
      </c>
      <c r="AA46" s="6">
        <v>0.42899999999999999</v>
      </c>
      <c r="AB46" s="6">
        <v>0.745</v>
      </c>
      <c r="AC46" s="9">
        <f t="shared" si="136"/>
        <v>0.50277000000000005</v>
      </c>
      <c r="AD46" s="6">
        <f t="shared" si="137"/>
        <v>4.3729100000000001</v>
      </c>
      <c r="AE46" s="12">
        <f t="shared" si="138"/>
        <v>0.34722000000000852</v>
      </c>
      <c r="AF46" s="4">
        <f t="shared" si="139"/>
        <v>-0.30402000000004925</v>
      </c>
      <c r="AG46" s="6">
        <f t="shared" si="140"/>
        <v>4.3540299999999998</v>
      </c>
      <c r="AH46">
        <f t="shared" si="141"/>
        <v>458147</v>
      </c>
      <c r="AI46" s="2">
        <f t="shared" si="142"/>
        <v>0.14072557497920973</v>
      </c>
      <c r="AJ46" s="9">
        <f t="shared" si="143"/>
        <v>6.3291912857663585E-2</v>
      </c>
      <c r="AK46" s="9">
        <f t="shared" si="144"/>
        <v>4.825961972903893E-3</v>
      </c>
      <c r="AL46" s="9">
        <f t="shared" si="145"/>
        <v>2.6827633925355837E-2</v>
      </c>
      <c r="AM46" s="9">
        <f t="shared" si="146"/>
        <v>7.3622658229782145E-2</v>
      </c>
      <c r="AN46" s="2">
        <f t="shared" si="147"/>
        <v>0.21213496978044166</v>
      </c>
      <c r="AO46" s="7">
        <f t="shared" si="148"/>
        <v>0.45857128825464311</v>
      </c>
      <c r="AP46" s="4">
        <f t="shared" si="28"/>
        <v>-1.892965355135857</v>
      </c>
      <c r="AQ46" s="4">
        <f t="shared" si="29"/>
        <v>8.6401543495912281E-2</v>
      </c>
      <c r="AR46" s="6">
        <f t="shared" si="149"/>
        <v>0.31798569018240869</v>
      </c>
      <c r="AS46" s="2">
        <f t="shared" si="150"/>
        <v>0.89494976848755525</v>
      </c>
      <c r="AT46" s="2">
        <f t="shared" si="151"/>
        <v>1.315236160077448</v>
      </c>
      <c r="AU46" s="2">
        <f t="shared" si="152"/>
        <v>1.2703523919688118</v>
      </c>
      <c r="AV46" s="2">
        <f t="shared" si="153"/>
        <v>1.0199850833321853</v>
      </c>
      <c r="AW46" s="2">
        <f t="shared" si="154"/>
        <v>0.99809824388511537</v>
      </c>
      <c r="AX46" s="2">
        <f t="shared" si="155"/>
        <v>1.0021603181394043</v>
      </c>
      <c r="AY46" s="2">
        <f t="shared" si="156"/>
        <v>0.99886515476162829</v>
      </c>
    </row>
    <row r="47" spans="1:51" x14ac:dyDescent="0.5">
      <c r="A47" t="s">
        <v>73</v>
      </c>
      <c r="B47">
        <v>50</v>
      </c>
      <c r="C47">
        <v>50</v>
      </c>
      <c r="D47">
        <v>50</v>
      </c>
      <c r="E47">
        <v>20</v>
      </c>
      <c r="F47">
        <v>50</v>
      </c>
      <c r="G47">
        <v>50</v>
      </c>
      <c r="H47">
        <v>100000</v>
      </c>
      <c r="I47">
        <v>48235</v>
      </c>
      <c r="J47">
        <f t="shared" si="10"/>
        <v>51765</v>
      </c>
      <c r="K47">
        <v>418216</v>
      </c>
      <c r="L47">
        <v>434685</v>
      </c>
      <c r="M47">
        <v>405395</v>
      </c>
      <c r="N47">
        <v>41451</v>
      </c>
      <c r="O47">
        <v>96718</v>
      </c>
      <c r="P47">
        <v>22115</v>
      </c>
      <c r="Q47">
        <v>1727</v>
      </c>
      <c r="R47">
        <v>848</v>
      </c>
      <c r="S47">
        <v>27273</v>
      </c>
      <c r="T47">
        <v>124831</v>
      </c>
      <c r="U47">
        <v>32457</v>
      </c>
      <c r="V47">
        <v>93855</v>
      </c>
      <c r="W47">
        <v>3187</v>
      </c>
      <c r="X47">
        <v>2561</v>
      </c>
      <c r="Y47" s="6">
        <v>0.23899999999999999</v>
      </c>
      <c r="Z47" s="6">
        <v>0.29599999999999999</v>
      </c>
      <c r="AA47" s="6">
        <v>0.308</v>
      </c>
      <c r="AB47" s="6">
        <v>0.60399999999999998</v>
      </c>
      <c r="AC47" s="9">
        <f t="shared" ref="AC47:AC50" si="157">I47/H47</f>
        <v>0.48235</v>
      </c>
      <c r="AD47" s="6">
        <f t="shared" ref="AD47:AD50" si="158">K47/H47</f>
        <v>4.1821599999999997</v>
      </c>
      <c r="AE47" s="12">
        <f t="shared" ref="AE47:AE50" si="159">(AC47-$AC$7)*162</f>
        <v>-2.9608199999999996</v>
      </c>
      <c r="AF47" s="4">
        <f t="shared" ref="AF47:AF50" si="160">(AD47-$AD$7)*162</f>
        <v>-31.205520000000117</v>
      </c>
      <c r="AG47" s="6">
        <f t="shared" ref="AG47:AG50" si="161">L47/H47</f>
        <v>4.3468499999999999</v>
      </c>
      <c r="AH47">
        <f t="shared" ref="AH47:AH50" si="162">ROUND((M47+U47)*1.02,0)</f>
        <v>446609</v>
      </c>
      <c r="AI47" s="2">
        <f t="shared" ref="AI47:AI50" si="163">(O47-SUM(P47:R47))/$AH47</f>
        <v>0.16127753807021356</v>
      </c>
      <c r="AJ47" s="9">
        <f t="shared" ref="AJ47:AJ50" si="164">P47/$AH47</f>
        <v>4.9517586972049374E-2</v>
      </c>
      <c r="AK47" s="9">
        <f t="shared" ref="AK47:AK50" si="165">Q47/$AH47</f>
        <v>3.8669171467659632E-3</v>
      </c>
      <c r="AL47" s="9">
        <f t="shared" ref="AL47:AL50" si="166">R47/$AH47</f>
        <v>1.8987526001491238E-3</v>
      </c>
      <c r="AM47" s="9">
        <f t="shared" ref="AM47:AM50" si="167">U47/$AH47</f>
        <v>7.2674307951698242E-2</v>
      </c>
      <c r="AN47" s="2">
        <f t="shared" ref="AN47:AN50" si="168">V47/$AH47</f>
        <v>0.21015026566862738</v>
      </c>
      <c r="AO47" s="7">
        <f t="shared" ref="AO47:AO50" si="169">1-SUM(AI47:AN47)-0.02</f>
        <v>0.48061463159049633</v>
      </c>
      <c r="AP47" s="4">
        <f t="shared" si="28"/>
        <v>-29.483223324564733</v>
      </c>
      <c r="AQ47" s="4">
        <f t="shared" si="29"/>
        <v>-2.591545280793774</v>
      </c>
      <c r="AR47" s="6">
        <f t="shared" ref="AR47:AR50" si="170">SUMPRODUCT($AI$1:$AN$1,AI47:AN47)</f>
        <v>0.26861205215300182</v>
      </c>
      <c r="AS47" s="2">
        <f t="shared" ref="AS47:AS50" si="171">AI47/AI$7</f>
        <v>1.0256507772627972</v>
      </c>
      <c r="AT47" s="2">
        <f t="shared" ref="AT47:AT50" si="172">AJ47/AJ$7</f>
        <v>1.028999093326241</v>
      </c>
      <c r="AU47" s="2">
        <f t="shared" ref="AU47:AU50" si="173">AK47/AK$7</f>
        <v>1.0179001563875734</v>
      </c>
      <c r="AV47" s="2">
        <f t="shared" ref="AV47:AV50" si="174">AL47/AL$7</f>
        <v>7.2190463552578063E-2</v>
      </c>
      <c r="AW47" s="2">
        <f t="shared" ref="AW47:AW50" si="175">AM47/AM$7</f>
        <v>0.98524151241273017</v>
      </c>
      <c r="AX47" s="2">
        <f t="shared" ref="AX47:AX50" si="176">AN47/AN$7</f>
        <v>0.99278425107150425</v>
      </c>
      <c r="AY47" s="2">
        <f t="shared" ref="AY47:AY50" si="177">AO47/AO$7</f>
        <v>1.0468802139608953</v>
      </c>
    </row>
    <row r="48" spans="1:51" x14ac:dyDescent="0.5">
      <c r="A48" t="s">
        <v>74</v>
      </c>
      <c r="B48">
        <v>50</v>
      </c>
      <c r="C48">
        <v>50</v>
      </c>
      <c r="D48">
        <v>50</v>
      </c>
      <c r="E48">
        <v>25</v>
      </c>
      <c r="F48">
        <v>50</v>
      </c>
      <c r="G48">
        <v>50</v>
      </c>
      <c r="H48">
        <v>100000</v>
      </c>
      <c r="I48">
        <v>48392</v>
      </c>
      <c r="J48">
        <f t="shared" si="10"/>
        <v>51608</v>
      </c>
      <c r="K48">
        <v>420661</v>
      </c>
      <c r="L48">
        <v>437111</v>
      </c>
      <c r="M48">
        <v>405145</v>
      </c>
      <c r="N48">
        <v>43508</v>
      </c>
      <c r="O48">
        <v>99048</v>
      </c>
      <c r="P48">
        <v>23244</v>
      </c>
      <c r="Q48">
        <v>1792</v>
      </c>
      <c r="R48">
        <v>2390</v>
      </c>
      <c r="S48">
        <v>29485</v>
      </c>
      <c r="T48">
        <v>133046</v>
      </c>
      <c r="U48">
        <v>32837</v>
      </c>
      <c r="V48">
        <v>93812</v>
      </c>
      <c r="W48">
        <v>3298</v>
      </c>
      <c r="X48">
        <v>2766</v>
      </c>
      <c r="Y48" s="6">
        <v>0.24399999999999999</v>
      </c>
      <c r="Z48" s="6">
        <v>0.30199999999999999</v>
      </c>
      <c r="AA48" s="6">
        <v>0.32800000000000001</v>
      </c>
      <c r="AB48" s="6">
        <v>0.63</v>
      </c>
      <c r="AC48" s="9">
        <f t="shared" si="157"/>
        <v>0.48392000000000002</v>
      </c>
      <c r="AD48" s="6">
        <f t="shared" si="158"/>
        <v>4.2066100000000004</v>
      </c>
      <c r="AE48" s="12">
        <f t="shared" si="159"/>
        <v>-2.7064799999999969</v>
      </c>
      <c r="AF48" s="4">
        <f t="shared" si="160"/>
        <v>-27.244619999999998</v>
      </c>
      <c r="AG48" s="6">
        <f t="shared" si="161"/>
        <v>4.3711099999999998</v>
      </c>
      <c r="AH48">
        <f t="shared" si="162"/>
        <v>446742</v>
      </c>
      <c r="AI48" s="2">
        <f t="shared" si="163"/>
        <v>0.16032072202747893</v>
      </c>
      <c r="AJ48" s="9">
        <f t="shared" si="164"/>
        <v>5.2030030756006825E-2</v>
      </c>
      <c r="AK48" s="9">
        <f t="shared" si="165"/>
        <v>4.0112637719310028E-3</v>
      </c>
      <c r="AL48" s="9">
        <f t="shared" si="166"/>
        <v>5.3498439815374424E-3</v>
      </c>
      <c r="AM48" s="9">
        <f t="shared" si="167"/>
        <v>7.3503274820813799E-2</v>
      </c>
      <c r="AN48" s="2">
        <f t="shared" si="168"/>
        <v>0.20999144920334331</v>
      </c>
      <c r="AO48" s="7">
        <f t="shared" si="169"/>
        <v>0.47479341543888864</v>
      </c>
      <c r="AP48" s="4">
        <f t="shared" si="28"/>
        <v>-24.666983448402334</v>
      </c>
      <c r="AQ48" s="4">
        <f t="shared" si="29"/>
        <v>-2.1240746868008675</v>
      </c>
      <c r="AR48" s="6">
        <f t="shared" si="170"/>
        <v>0.27841801308137581</v>
      </c>
      <c r="AS48" s="2">
        <f t="shared" si="171"/>
        <v>1.0195658684176421</v>
      </c>
      <c r="AT48" s="2">
        <f t="shared" si="172"/>
        <v>1.0812088744123967</v>
      </c>
      <c r="AU48" s="2">
        <f t="shared" si="173"/>
        <v>1.0558969498933237</v>
      </c>
      <c r="AV48" s="2">
        <f t="shared" si="174"/>
        <v>0.20340075738715299</v>
      </c>
      <c r="AW48" s="2">
        <f t="shared" si="175"/>
        <v>0.99647976971282426</v>
      </c>
      <c r="AX48" s="2">
        <f t="shared" si="176"/>
        <v>0.99203397609543797</v>
      </c>
      <c r="AY48" s="2">
        <f t="shared" si="177"/>
        <v>1.0342003752507409</v>
      </c>
    </row>
    <row r="49" spans="1:51" x14ac:dyDescent="0.5">
      <c r="A49" t="s">
        <v>75</v>
      </c>
      <c r="B49">
        <v>50</v>
      </c>
      <c r="C49">
        <v>50</v>
      </c>
      <c r="D49">
        <v>50</v>
      </c>
      <c r="E49">
        <v>30</v>
      </c>
      <c r="F49">
        <v>50</v>
      </c>
      <c r="G49">
        <v>50</v>
      </c>
      <c r="H49">
        <v>100000</v>
      </c>
      <c r="I49">
        <v>48387</v>
      </c>
      <c r="J49">
        <f t="shared" si="10"/>
        <v>51613</v>
      </c>
      <c r="K49">
        <v>421232</v>
      </c>
      <c r="L49">
        <v>436241</v>
      </c>
      <c r="M49">
        <v>405629</v>
      </c>
      <c r="N49">
        <v>44648</v>
      </c>
      <c r="O49">
        <v>100633</v>
      </c>
      <c r="P49">
        <v>23671</v>
      </c>
      <c r="Q49">
        <v>1867</v>
      </c>
      <c r="R49">
        <v>3828</v>
      </c>
      <c r="S49">
        <v>31859</v>
      </c>
      <c r="T49">
        <v>139522</v>
      </c>
      <c r="U49">
        <v>32388</v>
      </c>
      <c r="V49">
        <v>93246</v>
      </c>
      <c r="W49">
        <v>3381</v>
      </c>
      <c r="X49">
        <v>2674</v>
      </c>
      <c r="Y49" s="6">
        <v>0.248</v>
      </c>
      <c r="Z49" s="6">
        <v>0.30499999999999999</v>
      </c>
      <c r="AA49" s="6">
        <v>0.34399999999999997</v>
      </c>
      <c r="AB49" s="6">
        <v>0.64900000000000002</v>
      </c>
      <c r="AC49" s="9">
        <f t="shared" si="157"/>
        <v>0.48387000000000002</v>
      </c>
      <c r="AD49" s="6">
        <f t="shared" si="158"/>
        <v>4.2123200000000001</v>
      </c>
      <c r="AE49" s="12">
        <f t="shared" si="159"/>
        <v>-2.7145799999999962</v>
      </c>
      <c r="AF49" s="4">
        <f t="shared" si="160"/>
        <v>-26.319600000000051</v>
      </c>
      <c r="AG49" s="6">
        <f t="shared" si="161"/>
        <v>4.3624099999999997</v>
      </c>
      <c r="AH49">
        <f t="shared" si="162"/>
        <v>446777</v>
      </c>
      <c r="AI49" s="2">
        <f t="shared" si="163"/>
        <v>0.15951358283886591</v>
      </c>
      <c r="AJ49" s="9">
        <f t="shared" si="164"/>
        <v>5.2981688851485194E-2</v>
      </c>
      <c r="AK49" s="9">
        <f t="shared" si="165"/>
        <v>4.1788185157248473E-3</v>
      </c>
      <c r="AL49" s="9">
        <f t="shared" si="166"/>
        <v>8.568032821743286E-3</v>
      </c>
      <c r="AM49" s="9">
        <f t="shared" si="167"/>
        <v>7.2492541021583479E-2</v>
      </c>
      <c r="AN49" s="2">
        <f t="shared" si="168"/>
        <v>0.20870814746506647</v>
      </c>
      <c r="AO49" s="7">
        <f t="shared" si="169"/>
        <v>0.47355718848553074</v>
      </c>
      <c r="AP49" s="4">
        <f t="shared" si="28"/>
        <v>-20.860506591829562</v>
      </c>
      <c r="AQ49" s="4">
        <f t="shared" si="29"/>
        <v>-1.7546130231554566</v>
      </c>
      <c r="AR49" s="6">
        <f t="shared" si="170"/>
        <v>0.28468076915329121</v>
      </c>
      <c r="AS49" s="2">
        <f t="shared" si="171"/>
        <v>1.0144328353488967</v>
      </c>
      <c r="AT49" s="2">
        <f t="shared" si="172"/>
        <v>1.1009847838878839</v>
      </c>
      <c r="AU49" s="2">
        <f t="shared" si="173"/>
        <v>1.1000028858205713</v>
      </c>
      <c r="AV49" s="2">
        <f t="shared" si="174"/>
        <v>0.32575611013608263</v>
      </c>
      <c r="AW49" s="2">
        <f t="shared" si="175"/>
        <v>0.98277730834694232</v>
      </c>
      <c r="AX49" s="2">
        <f t="shared" si="176"/>
        <v>0.98597144864118813</v>
      </c>
      <c r="AY49" s="2">
        <f t="shared" si="177"/>
        <v>1.0315076117509017</v>
      </c>
    </row>
    <row r="50" spans="1:51" x14ac:dyDescent="0.5">
      <c r="A50" t="s">
        <v>76</v>
      </c>
      <c r="B50">
        <v>50</v>
      </c>
      <c r="C50">
        <v>50</v>
      </c>
      <c r="D50">
        <v>50</v>
      </c>
      <c r="E50">
        <v>35</v>
      </c>
      <c r="F50">
        <v>50</v>
      </c>
      <c r="G50">
        <v>50</v>
      </c>
      <c r="H50">
        <v>100000</v>
      </c>
      <c r="I50">
        <v>49011</v>
      </c>
      <c r="J50">
        <f t="shared" si="10"/>
        <v>50989</v>
      </c>
      <c r="K50">
        <v>425458</v>
      </c>
      <c r="L50">
        <v>434134</v>
      </c>
      <c r="M50">
        <v>405918</v>
      </c>
      <c r="N50">
        <v>46914</v>
      </c>
      <c r="O50">
        <v>102763</v>
      </c>
      <c r="P50">
        <v>24441</v>
      </c>
      <c r="Q50">
        <v>1824</v>
      </c>
      <c r="R50">
        <v>5479</v>
      </c>
      <c r="S50">
        <v>34298</v>
      </c>
      <c r="T50">
        <v>147289</v>
      </c>
      <c r="U50">
        <v>32826</v>
      </c>
      <c r="V50">
        <v>94326</v>
      </c>
      <c r="W50">
        <v>3304</v>
      </c>
      <c r="X50">
        <v>2649</v>
      </c>
      <c r="Y50" s="6">
        <v>0.253</v>
      </c>
      <c r="Z50" s="6">
        <v>0.31</v>
      </c>
      <c r="AA50" s="6">
        <v>0.36299999999999999</v>
      </c>
      <c r="AB50" s="6">
        <v>0.67300000000000004</v>
      </c>
      <c r="AC50" s="9">
        <f t="shared" si="157"/>
        <v>0.49010999999999999</v>
      </c>
      <c r="AD50" s="6">
        <f t="shared" si="158"/>
        <v>4.2545799999999998</v>
      </c>
      <c r="AE50" s="12">
        <f t="shared" si="159"/>
        <v>-1.7037000000000013</v>
      </c>
      <c r="AF50" s="4">
        <f t="shared" si="160"/>
        <v>-19.473480000000094</v>
      </c>
      <c r="AG50" s="6">
        <f t="shared" si="161"/>
        <v>4.3413399999999998</v>
      </c>
      <c r="AH50">
        <f t="shared" si="162"/>
        <v>447519</v>
      </c>
      <c r="AI50" s="2">
        <f t="shared" si="163"/>
        <v>0.15869493809201396</v>
      </c>
      <c r="AJ50" s="9">
        <f t="shared" si="164"/>
        <v>5.4614440951110454E-2</v>
      </c>
      <c r="AK50" s="9">
        <f t="shared" si="165"/>
        <v>4.0758046027096059E-3</v>
      </c>
      <c r="AL50" s="9">
        <f t="shared" si="166"/>
        <v>1.2243055602108513E-2</v>
      </c>
      <c r="AM50" s="9">
        <f t="shared" si="167"/>
        <v>7.3351075596790299E-2</v>
      </c>
      <c r="AN50" s="2">
        <f t="shared" si="168"/>
        <v>0.21077540841841352</v>
      </c>
      <c r="AO50" s="7">
        <f t="shared" si="169"/>
        <v>0.46624527673685368</v>
      </c>
      <c r="AP50" s="4">
        <f t="shared" si="28"/>
        <v>-16.868415099422691</v>
      </c>
      <c r="AQ50" s="4">
        <f t="shared" si="29"/>
        <v>-1.3671353581691241</v>
      </c>
      <c r="AR50" s="6">
        <f t="shared" si="170"/>
        <v>0.29359233909621713</v>
      </c>
      <c r="AS50" s="2">
        <f t="shared" si="171"/>
        <v>1.0092266322349501</v>
      </c>
      <c r="AT50" s="2">
        <f t="shared" si="172"/>
        <v>1.1349141518736312</v>
      </c>
      <c r="AU50" s="2">
        <f t="shared" si="173"/>
        <v>1.0728862256521456</v>
      </c>
      <c r="AV50" s="2">
        <f t="shared" si="174"/>
        <v>0.46548026275081184</v>
      </c>
      <c r="AW50" s="2">
        <f t="shared" si="175"/>
        <v>0.99441641337835973</v>
      </c>
      <c r="AX50" s="2">
        <f t="shared" si="176"/>
        <v>0.99573752774086555</v>
      </c>
      <c r="AY50" s="2">
        <f t="shared" si="177"/>
        <v>1.0155807230696592</v>
      </c>
    </row>
    <row r="51" spans="1:51" x14ac:dyDescent="0.5">
      <c r="A51" t="s">
        <v>72</v>
      </c>
      <c r="B51">
        <v>50</v>
      </c>
      <c r="C51">
        <v>50</v>
      </c>
      <c r="D51">
        <v>50</v>
      </c>
      <c r="E51">
        <v>40</v>
      </c>
      <c r="F51">
        <v>50</v>
      </c>
      <c r="G51">
        <v>50</v>
      </c>
      <c r="H51">
        <v>100000</v>
      </c>
      <c r="I51">
        <v>49222</v>
      </c>
      <c r="J51">
        <f t="shared" si="10"/>
        <v>50778</v>
      </c>
      <c r="K51">
        <v>429244</v>
      </c>
      <c r="L51">
        <v>435936</v>
      </c>
      <c r="M51">
        <v>408505</v>
      </c>
      <c r="N51">
        <v>49328</v>
      </c>
      <c r="O51">
        <v>105235</v>
      </c>
      <c r="P51">
        <v>24827</v>
      </c>
      <c r="Q51">
        <v>1930</v>
      </c>
      <c r="R51">
        <v>7697</v>
      </c>
      <c r="S51">
        <v>37508</v>
      </c>
      <c r="T51">
        <v>157013</v>
      </c>
      <c r="U51">
        <v>32942</v>
      </c>
      <c r="V51">
        <v>94661</v>
      </c>
      <c r="W51">
        <v>3306</v>
      </c>
      <c r="X51">
        <v>2687</v>
      </c>
      <c r="Y51" s="6">
        <v>0.25800000000000001</v>
      </c>
      <c r="Z51" s="6">
        <v>0.314</v>
      </c>
      <c r="AA51" s="6">
        <v>0.38400000000000001</v>
      </c>
      <c r="AB51" s="6">
        <v>0.69799999999999995</v>
      </c>
      <c r="AC51" s="9">
        <f t="shared" si="122"/>
        <v>0.49221999999999999</v>
      </c>
      <c r="AD51" s="6">
        <f t="shared" si="123"/>
        <v>4.29244</v>
      </c>
      <c r="AE51" s="12">
        <f t="shared" si="124"/>
        <v>-1.3618800000000011</v>
      </c>
      <c r="AF51" s="4">
        <f t="shared" si="125"/>
        <v>-13.340160000000056</v>
      </c>
      <c r="AG51" s="6">
        <f t="shared" si="126"/>
        <v>4.3593599999999997</v>
      </c>
      <c r="AH51">
        <f t="shared" si="127"/>
        <v>450276</v>
      </c>
      <c r="AI51" s="2">
        <f t="shared" si="128"/>
        <v>0.15719469836278194</v>
      </c>
      <c r="AJ51" s="9">
        <f t="shared" si="129"/>
        <v>5.5137293571054201E-2</v>
      </c>
      <c r="AK51" s="9">
        <f t="shared" si="130"/>
        <v>4.286259982766126E-3</v>
      </c>
      <c r="AL51" s="9">
        <f t="shared" si="131"/>
        <v>1.7093960148886461E-2</v>
      </c>
      <c r="AM51" s="9">
        <f t="shared" si="132"/>
        <v>7.3159573239524198E-2</v>
      </c>
      <c r="AN51" s="2">
        <f t="shared" si="133"/>
        <v>0.21022883742415763</v>
      </c>
      <c r="AO51" s="7">
        <f t="shared" si="134"/>
        <v>0.46289937727082942</v>
      </c>
      <c r="AP51" s="4">
        <f t="shared" si="28"/>
        <v>-11.198417026664174</v>
      </c>
      <c r="AQ51" s="4">
        <f t="shared" si="29"/>
        <v>-0.81679786768618801</v>
      </c>
      <c r="AR51" s="6">
        <f t="shared" si="135"/>
        <v>0.30254015315051208</v>
      </c>
      <c r="AS51" s="2">
        <f t="shared" ref="AS51" si="178">AI51/AI$7</f>
        <v>0.99968579931562906</v>
      </c>
      <c r="AT51" s="2">
        <f t="shared" ref="AT51" si="179">AJ51/AJ$7</f>
        <v>1.145779278887374</v>
      </c>
      <c r="AU51" s="2">
        <f t="shared" ref="AU51" si="180">AK51/AK$7</f>
        <v>1.1282850242665148</v>
      </c>
      <c r="AV51" s="2">
        <f t="shared" ref="AV51" si="181">AL51/AL$7</f>
        <v>0.64991137181352254</v>
      </c>
      <c r="AW51" s="2">
        <f t="shared" ref="AW51" si="182">AM51/AM$7</f>
        <v>0.99182022667330216</v>
      </c>
      <c r="AX51" s="2">
        <f t="shared" ref="AX51" si="183">AN51/AN$7</f>
        <v>0.99315543690475216</v>
      </c>
      <c r="AY51" s="2">
        <f t="shared" ref="AY51" si="184">AO51/AO$7</f>
        <v>1.0082926470964175</v>
      </c>
    </row>
    <row r="52" spans="1:51" x14ac:dyDescent="0.5">
      <c r="A52" t="s">
        <v>64</v>
      </c>
      <c r="B52">
        <v>50</v>
      </c>
      <c r="C52">
        <v>50</v>
      </c>
      <c r="D52">
        <v>50</v>
      </c>
      <c r="E52">
        <v>45</v>
      </c>
      <c r="F52">
        <v>50</v>
      </c>
      <c r="G52">
        <v>50</v>
      </c>
      <c r="H52">
        <v>100000</v>
      </c>
      <c r="I52">
        <v>49808</v>
      </c>
      <c r="J52">
        <f t="shared" si="10"/>
        <v>50192</v>
      </c>
      <c r="K52">
        <v>434801</v>
      </c>
      <c r="L52">
        <v>436397</v>
      </c>
      <c r="M52">
        <v>413367</v>
      </c>
      <c r="N52">
        <v>52640</v>
      </c>
      <c r="O52">
        <v>109097</v>
      </c>
      <c r="P52">
        <v>25829</v>
      </c>
      <c r="Q52">
        <v>1854</v>
      </c>
      <c r="R52">
        <v>10402</v>
      </c>
      <c r="S52">
        <v>42095</v>
      </c>
      <c r="T52">
        <v>169840</v>
      </c>
      <c r="U52">
        <v>33456</v>
      </c>
      <c r="V52">
        <v>96342</v>
      </c>
      <c r="W52">
        <v>3259</v>
      </c>
      <c r="X52">
        <v>2584</v>
      </c>
      <c r="Y52" s="6">
        <v>0.26400000000000001</v>
      </c>
      <c r="Z52" s="6">
        <v>0.32</v>
      </c>
      <c r="AA52" s="6">
        <v>0.41099999999999998</v>
      </c>
      <c r="AB52" s="6">
        <v>0.73099999999999998</v>
      </c>
      <c r="AC52" s="9">
        <f t="shared" ref="AC52" si="185">I52/H52</f>
        <v>0.49808000000000002</v>
      </c>
      <c r="AD52" s="6">
        <f t="shared" ref="AD52" si="186">K52/H52</f>
        <v>4.3480100000000004</v>
      </c>
      <c r="AE52" s="12">
        <f t="shared" ref="AE52" si="187">(AC52-$AC$7)*162</f>
        <v>-0.41255999999999593</v>
      </c>
      <c r="AF52" s="4">
        <f t="shared" ref="AF52" si="188">(AD52-$AD$7)*162</f>
        <v>-4.3378200000000007</v>
      </c>
      <c r="AG52" s="6">
        <f t="shared" ref="AG52" si="189">L52/H52</f>
        <v>4.3639700000000001</v>
      </c>
      <c r="AH52">
        <f t="shared" ref="AH52" si="190">ROUND((M52+U52)*1.02,0)</f>
        <v>455759</v>
      </c>
      <c r="AI52" s="2">
        <f>(O52-SUM(P52:R52))/$AH52</f>
        <v>0.15581041734776493</v>
      </c>
      <c r="AJ52" s="9">
        <f t="shared" ref="AJ52:AL56" si="191">P52/$AH52</f>
        <v>5.6672495770791143E-2</v>
      </c>
      <c r="AK52" s="9">
        <f t="shared" si="191"/>
        <v>4.0679394153489016E-3</v>
      </c>
      <c r="AL52" s="9">
        <f t="shared" si="191"/>
        <v>2.2823465910711584E-2</v>
      </c>
      <c r="AM52" s="9">
        <f t="shared" ref="AM52:AN56" si="192">U52/$AH52</f>
        <v>7.3407217410956224E-2</v>
      </c>
      <c r="AN52" s="2">
        <f t="shared" si="192"/>
        <v>0.21138803622089744</v>
      </c>
      <c r="AO52" s="7">
        <f t="shared" ref="AO52" si="193">1-SUM(AI52:AN52)-0.02</f>
        <v>0.45583042792352979</v>
      </c>
      <c r="AP52" s="4">
        <f t="shared" si="28"/>
        <v>-5.6689889859767391</v>
      </c>
      <c r="AQ52" s="4">
        <f t="shared" si="29"/>
        <v>-0.28010428989852892</v>
      </c>
      <c r="AR52" s="6">
        <f t="shared" ref="AR52" si="194">SUMPRODUCT($AI$1:$AN$1,AI52:AN52)</f>
        <v>0.31420821091848983</v>
      </c>
      <c r="AS52" s="2">
        <f t="shared" si="45"/>
        <v>0.99088241035030267</v>
      </c>
      <c r="AT52" s="2">
        <f t="shared" si="75"/>
        <v>1.1776815133903082</v>
      </c>
      <c r="AU52" s="2">
        <f t="shared" si="76"/>
        <v>1.070815848878965</v>
      </c>
      <c r="AV52" s="2">
        <f t="shared" si="77"/>
        <v>0.86774684803135005</v>
      </c>
      <c r="AW52" s="2">
        <f t="shared" si="78"/>
        <v>0.9951775248007787</v>
      </c>
      <c r="AX52" s="2">
        <f t="shared" si="79"/>
        <v>0.99863168175080441</v>
      </c>
      <c r="AY52" s="2">
        <f t="shared" si="80"/>
        <v>0.99289498185953151</v>
      </c>
    </row>
    <row r="53" spans="1:51" x14ac:dyDescent="0.5">
      <c r="A53" t="s">
        <v>65</v>
      </c>
      <c r="B53">
        <v>50</v>
      </c>
      <c r="C53">
        <v>50</v>
      </c>
      <c r="D53">
        <v>50</v>
      </c>
      <c r="E53">
        <v>55</v>
      </c>
      <c r="F53">
        <v>50</v>
      </c>
      <c r="G53">
        <v>50</v>
      </c>
      <c r="H53">
        <v>100000</v>
      </c>
      <c r="I53">
        <v>50533</v>
      </c>
      <c r="J53">
        <f t="shared" si="10"/>
        <v>49467</v>
      </c>
      <c r="K53">
        <v>444152</v>
      </c>
      <c r="L53">
        <v>437098</v>
      </c>
      <c r="M53">
        <v>411792</v>
      </c>
      <c r="N53">
        <v>57101</v>
      </c>
      <c r="O53">
        <v>109255</v>
      </c>
      <c r="P53">
        <v>21835</v>
      </c>
      <c r="Q53">
        <v>1601</v>
      </c>
      <c r="R53">
        <v>15121</v>
      </c>
      <c r="S53">
        <v>48448</v>
      </c>
      <c r="T53">
        <v>179655</v>
      </c>
      <c r="U53">
        <v>38813</v>
      </c>
      <c r="V53">
        <v>96484</v>
      </c>
      <c r="W53">
        <v>3226</v>
      </c>
      <c r="X53">
        <v>2599</v>
      </c>
      <c r="Y53" s="6">
        <v>0.26500000000000001</v>
      </c>
      <c r="Z53" s="6">
        <v>0.32900000000000001</v>
      </c>
      <c r="AA53" s="6">
        <v>0.436</v>
      </c>
      <c r="AB53" s="6">
        <v>0.76600000000000001</v>
      </c>
      <c r="AC53" s="9">
        <f t="shared" si="11"/>
        <v>0.50532999999999995</v>
      </c>
      <c r="AD53" s="6">
        <f t="shared" si="12"/>
        <v>4.4415199999999997</v>
      </c>
      <c r="AE53" s="12">
        <f t="shared" si="66"/>
        <v>0.76193999999999162</v>
      </c>
      <c r="AF53" s="4">
        <f t="shared" si="67"/>
        <v>10.810799999999888</v>
      </c>
      <c r="AG53" s="6">
        <f t="shared" si="13"/>
        <v>4.3709800000000003</v>
      </c>
      <c r="AH53">
        <f t="shared" si="14"/>
        <v>459617</v>
      </c>
      <c r="AI53" s="2">
        <f>(O53-SUM(P53:R53))/$AH53</f>
        <v>0.15381937569759169</v>
      </c>
      <c r="AJ53" s="9">
        <f t="shared" si="191"/>
        <v>4.7506946000691878E-2</v>
      </c>
      <c r="AK53" s="9">
        <f t="shared" si="191"/>
        <v>3.4833350376509138E-3</v>
      </c>
      <c r="AL53" s="9">
        <f t="shared" si="191"/>
        <v>3.2899131233178933E-2</v>
      </c>
      <c r="AM53" s="9">
        <f t="shared" si="192"/>
        <v>8.4446397761614556E-2</v>
      </c>
      <c r="AN53" s="2">
        <f t="shared" si="192"/>
        <v>0.20992260947702107</v>
      </c>
      <c r="AO53" s="7">
        <f t="shared" si="15"/>
        <v>0.44792220479225087</v>
      </c>
      <c r="AP53" s="4">
        <f t="shared" si="28"/>
        <v>4.4992647157678221</v>
      </c>
      <c r="AQ53" s="4">
        <f t="shared" si="29"/>
        <v>0.70683982419169411</v>
      </c>
      <c r="AR53" s="6">
        <f t="shared" si="16"/>
        <v>0.32773476612048724</v>
      </c>
      <c r="AS53" s="2">
        <f t="shared" si="45"/>
        <v>0.97822030352192502</v>
      </c>
      <c r="AT53" s="2">
        <f t="shared" si="75"/>
        <v>0.98721701420959729</v>
      </c>
      <c r="AU53" s="2">
        <f t="shared" si="76"/>
        <v>0.91692869151348633</v>
      </c>
      <c r="AV53" s="2">
        <f t="shared" si="77"/>
        <v>1.2508230582613864</v>
      </c>
      <c r="AW53" s="2">
        <f t="shared" si="78"/>
        <v>1.1448350729910997</v>
      </c>
      <c r="AX53" s="2">
        <f t="shared" si="79"/>
        <v>0.99170876596104507</v>
      </c>
      <c r="AY53" s="2">
        <f t="shared" si="80"/>
        <v>0.97566920099571086</v>
      </c>
    </row>
    <row r="54" spans="1:51" x14ac:dyDescent="0.5">
      <c r="A54" t="s">
        <v>66</v>
      </c>
      <c r="B54">
        <v>50</v>
      </c>
      <c r="C54">
        <v>50</v>
      </c>
      <c r="D54">
        <v>50</v>
      </c>
      <c r="E54">
        <v>60</v>
      </c>
      <c r="F54">
        <v>50</v>
      </c>
      <c r="G54">
        <v>50</v>
      </c>
      <c r="H54">
        <v>100000</v>
      </c>
      <c r="I54">
        <v>51090</v>
      </c>
      <c r="J54">
        <f t="shared" si="10"/>
        <v>48910</v>
      </c>
      <c r="K54">
        <v>448219</v>
      </c>
      <c r="L54">
        <v>436547</v>
      </c>
      <c r="M54">
        <v>413565</v>
      </c>
      <c r="N54">
        <v>59866</v>
      </c>
      <c r="O54">
        <v>111940</v>
      </c>
      <c r="P54">
        <v>21728</v>
      </c>
      <c r="Q54">
        <v>1625</v>
      </c>
      <c r="R54">
        <v>18170</v>
      </c>
      <c r="S54">
        <v>53056</v>
      </c>
      <c r="T54">
        <v>191428</v>
      </c>
      <c r="U54">
        <v>38327</v>
      </c>
      <c r="V54">
        <v>96540</v>
      </c>
      <c r="W54">
        <v>3100</v>
      </c>
      <c r="X54">
        <v>2611</v>
      </c>
      <c r="Y54" s="6">
        <v>0.27100000000000002</v>
      </c>
      <c r="Z54" s="6">
        <v>0.33300000000000002</v>
      </c>
      <c r="AA54" s="6">
        <v>0.46300000000000002</v>
      </c>
      <c r="AB54" s="6">
        <v>0.79600000000000004</v>
      </c>
      <c r="AC54" s="9">
        <f t="shared" ref="AC54" si="195">I54/H54</f>
        <v>0.51090000000000002</v>
      </c>
      <c r="AD54" s="6">
        <f t="shared" ref="AD54" si="196">K54/H54</f>
        <v>4.4821900000000001</v>
      </c>
      <c r="AE54" s="12">
        <f t="shared" ref="AE54" si="197">(AC54-$AC$7)*162</f>
        <v>1.6642800000000038</v>
      </c>
      <c r="AF54" s="4">
        <f t="shared" ref="AF54" si="198">(AD54-$AD$7)*162</f>
        <v>17.39933999999996</v>
      </c>
      <c r="AG54" s="6">
        <f t="shared" ref="AG54" si="199">L54/H54</f>
        <v>4.3654700000000002</v>
      </c>
      <c r="AH54">
        <f t="shared" ref="AH54" si="200">ROUND((M54+U54)*1.02,0)</f>
        <v>460930</v>
      </c>
      <c r="AI54" s="2">
        <f>(O54-SUM(P54:R54))/$AH54</f>
        <v>0.1527715705204695</v>
      </c>
      <c r="AJ54" s="9">
        <f t="shared" si="191"/>
        <v>4.7139478879656346E-2</v>
      </c>
      <c r="AK54" s="9">
        <f t="shared" si="191"/>
        <v>3.5254810925737096E-3</v>
      </c>
      <c r="AL54" s="9">
        <f t="shared" si="191"/>
        <v>3.9420302432039575E-2</v>
      </c>
      <c r="AM54" s="9">
        <f t="shared" si="192"/>
        <v>8.3151454667736963E-2</v>
      </c>
      <c r="AN54" s="2">
        <f t="shared" si="192"/>
        <v>0.20944611980127134</v>
      </c>
      <c r="AO54" s="7">
        <f t="shared" ref="AO54" si="201">1-SUM(AI54:AN54)-0.02</f>
        <v>0.44454559260625248</v>
      </c>
      <c r="AP54" s="4">
        <f t="shared" si="28"/>
        <v>11.040557533985066</v>
      </c>
      <c r="AQ54" s="4">
        <f t="shared" si="29"/>
        <v>1.3417463317243026</v>
      </c>
      <c r="AR54" s="6">
        <f t="shared" ref="AR54" si="202">SUMPRODUCT($AI$1:$AN$1,AI54:AN54)</f>
        <v>0.33818575488685915</v>
      </c>
      <c r="AS54" s="2">
        <f t="shared" si="45"/>
        <v>0.97155674573703688</v>
      </c>
      <c r="AT54" s="2">
        <f t="shared" si="75"/>
        <v>0.97958087203275412</v>
      </c>
      <c r="AU54" s="2">
        <f t="shared" si="76"/>
        <v>0.92802292349953031</v>
      </c>
      <c r="AV54" s="2">
        <f t="shared" si="77"/>
        <v>1.4987576084047269</v>
      </c>
      <c r="AW54" s="2">
        <f t="shared" si="78"/>
        <v>1.1272796021753564</v>
      </c>
      <c r="AX54" s="2">
        <f t="shared" si="79"/>
        <v>0.98945775074401732</v>
      </c>
      <c r="AY54" s="2">
        <f t="shared" si="80"/>
        <v>0.9683142262292479</v>
      </c>
    </row>
    <row r="55" spans="1:51" x14ac:dyDescent="0.5">
      <c r="A55" t="s">
        <v>67</v>
      </c>
      <c r="B55">
        <v>50</v>
      </c>
      <c r="C55">
        <v>50</v>
      </c>
      <c r="D55">
        <v>50</v>
      </c>
      <c r="E55">
        <v>65</v>
      </c>
      <c r="F55">
        <v>50</v>
      </c>
      <c r="G55">
        <v>50</v>
      </c>
      <c r="H55">
        <v>100000</v>
      </c>
      <c r="I55">
        <v>51392</v>
      </c>
      <c r="J55">
        <f t="shared" si="10"/>
        <v>48608</v>
      </c>
      <c r="K55">
        <v>449166</v>
      </c>
      <c r="L55">
        <v>435690</v>
      </c>
      <c r="M55">
        <v>416178</v>
      </c>
      <c r="N55">
        <v>62524</v>
      </c>
      <c r="O55">
        <v>114441</v>
      </c>
      <c r="P55">
        <v>21492</v>
      </c>
      <c r="Q55">
        <v>1667</v>
      </c>
      <c r="R55">
        <v>21209</v>
      </c>
      <c r="S55">
        <v>58431</v>
      </c>
      <c r="T55">
        <v>202894</v>
      </c>
      <c r="U55">
        <v>40147</v>
      </c>
      <c r="V55">
        <v>98532</v>
      </c>
      <c r="W55">
        <v>3171</v>
      </c>
      <c r="X55">
        <v>2557</v>
      </c>
      <c r="Y55" s="6">
        <v>0.27500000000000002</v>
      </c>
      <c r="Z55" s="6">
        <v>0.33900000000000002</v>
      </c>
      <c r="AA55" s="6">
        <v>0.48799999999999999</v>
      </c>
      <c r="AB55" s="6">
        <v>0.82699999999999996</v>
      </c>
      <c r="AC55" s="9">
        <f t="shared" ref="AC55" si="203">I55/H55</f>
        <v>0.51392000000000004</v>
      </c>
      <c r="AD55" s="6">
        <f t="shared" ref="AD55" si="204">K55/H55</f>
        <v>4.4916600000000004</v>
      </c>
      <c r="AE55" s="12">
        <f t="shared" ref="AE55" si="205">(AC55-$AC$7)*162</f>
        <v>2.1535200000000074</v>
      </c>
      <c r="AF55" s="4">
        <f t="shared" ref="AF55" si="206">(AD55-$AD$7)*162</f>
        <v>18.93348000000001</v>
      </c>
      <c r="AG55" s="6">
        <f t="shared" ref="AG55" si="207">L55/H55</f>
        <v>4.3569000000000004</v>
      </c>
      <c r="AH55">
        <f t="shared" ref="AH55" si="208">ROUND((M55+U55)*1.02,0)</f>
        <v>465452</v>
      </c>
      <c r="AI55" s="2">
        <f>(O55-SUM(P55:R55))/$AH55</f>
        <v>0.15054828424842948</v>
      </c>
      <c r="AJ55" s="9">
        <f t="shared" si="191"/>
        <v>4.617447126663974E-2</v>
      </c>
      <c r="AK55" s="9">
        <f t="shared" si="191"/>
        <v>3.5814648986361645E-3</v>
      </c>
      <c r="AL55" s="9">
        <f t="shared" si="191"/>
        <v>4.5566460129078834E-2</v>
      </c>
      <c r="AM55" s="9">
        <f t="shared" si="192"/>
        <v>8.6253792012925073E-2</v>
      </c>
      <c r="AN55" s="2">
        <f t="shared" si="192"/>
        <v>0.21169100143516409</v>
      </c>
      <c r="AO55" s="7">
        <f t="shared" ref="AO55" si="209">1-SUM(AI55:AN55)-0.02</f>
        <v>0.43618452600912661</v>
      </c>
      <c r="AP55" s="4">
        <f t="shared" si="28"/>
        <v>17.997580169985213</v>
      </c>
      <c r="AQ55" s="4">
        <f t="shared" si="29"/>
        <v>2.0170041236315561</v>
      </c>
      <c r="AR55" s="6">
        <f t="shared" ref="AR55" si="210">SUMPRODUCT($AI$1:$AN$1,AI55:AN55)</f>
        <v>0.349294212937102</v>
      </c>
      <c r="AS55" s="2">
        <f t="shared" si="45"/>
        <v>0.95741767020128066</v>
      </c>
      <c r="AT55" s="2">
        <f t="shared" si="75"/>
        <v>0.95952755321074623</v>
      </c>
      <c r="AU55" s="2">
        <f t="shared" si="76"/>
        <v>0.94275970807062048</v>
      </c>
      <c r="AV55" s="2">
        <f t="shared" si="77"/>
        <v>1.7324341669946468</v>
      </c>
      <c r="AW55" s="2">
        <f t="shared" si="78"/>
        <v>1.1693378153752552</v>
      </c>
      <c r="AX55" s="2">
        <f t="shared" si="79"/>
        <v>1.0000629390104108</v>
      </c>
      <c r="AY55" s="2">
        <f t="shared" si="80"/>
        <v>0.9501020566180689</v>
      </c>
    </row>
    <row r="56" spans="1:51" x14ac:dyDescent="0.5">
      <c r="A56" t="s">
        <v>68</v>
      </c>
      <c r="B56">
        <v>50</v>
      </c>
      <c r="C56">
        <v>50</v>
      </c>
      <c r="D56">
        <v>50</v>
      </c>
      <c r="E56">
        <v>70</v>
      </c>
      <c r="F56">
        <v>50</v>
      </c>
      <c r="G56">
        <v>50</v>
      </c>
      <c r="H56">
        <v>100000</v>
      </c>
      <c r="I56">
        <v>51722</v>
      </c>
      <c r="J56">
        <f t="shared" si="10"/>
        <v>48278</v>
      </c>
      <c r="K56">
        <v>453745</v>
      </c>
      <c r="L56">
        <v>435533</v>
      </c>
      <c r="M56">
        <v>416986</v>
      </c>
      <c r="N56">
        <v>65234</v>
      </c>
      <c r="O56">
        <v>117029</v>
      </c>
      <c r="P56">
        <v>21466</v>
      </c>
      <c r="Q56">
        <v>1762</v>
      </c>
      <c r="R56">
        <v>23968</v>
      </c>
      <c r="S56">
        <v>62615</v>
      </c>
      <c r="T56">
        <v>213923</v>
      </c>
      <c r="U56">
        <v>40009</v>
      </c>
      <c r="V56">
        <v>98629</v>
      </c>
      <c r="W56">
        <v>3257</v>
      </c>
      <c r="X56">
        <v>2556</v>
      </c>
      <c r="Y56" s="6">
        <v>0.28100000000000003</v>
      </c>
      <c r="Z56" s="6">
        <v>0.34399999999999997</v>
      </c>
      <c r="AA56" s="6">
        <v>0.51300000000000001</v>
      </c>
      <c r="AB56" s="6">
        <v>0.85699999999999998</v>
      </c>
      <c r="AC56" s="9">
        <f t="shared" ref="AC56:AC58" si="211">I56/H56</f>
        <v>0.51722000000000001</v>
      </c>
      <c r="AD56" s="6">
        <f t="shared" ref="AD56:AD58" si="212">K56/H56</f>
        <v>4.5374499999999998</v>
      </c>
      <c r="AE56" s="12">
        <f t="shared" ref="AE56:AE58" si="213">(AC56-$AC$7)*162</f>
        <v>2.6881200000000023</v>
      </c>
      <c r="AF56" s="4">
        <f t="shared" ref="AF56:AF58" si="214">(AD56-$AD$7)*162</f>
        <v>26.3514599999999</v>
      </c>
      <c r="AG56" s="6">
        <f t="shared" ref="AG56:AG57" si="215">L56/H56</f>
        <v>4.3553300000000004</v>
      </c>
      <c r="AH56">
        <f t="shared" ref="AH56" si="216">ROUND((M56+U56)*1.02,0)</f>
        <v>466135</v>
      </c>
      <c r="AI56" s="2">
        <f>(O56-SUM(P56:R56))/$AH56</f>
        <v>0.14981282246559474</v>
      </c>
      <c r="AJ56" s="9">
        <f t="shared" si="191"/>
        <v>4.6051036716830959E-2</v>
      </c>
      <c r="AK56" s="9">
        <f t="shared" si="191"/>
        <v>3.7800208094221632E-3</v>
      </c>
      <c r="AL56" s="9">
        <f t="shared" si="191"/>
        <v>5.1418580454160277E-2</v>
      </c>
      <c r="AM56" s="9">
        <f t="shared" si="192"/>
        <v>8.5831357868428673E-2</v>
      </c>
      <c r="AN56" s="2">
        <f t="shared" si="192"/>
        <v>0.21158891737372221</v>
      </c>
      <c r="AO56" s="7">
        <f t="shared" ref="AO56" si="217">1-SUM(AI56:AN56)-0.02</f>
        <v>0.43151726431184101</v>
      </c>
      <c r="AP56" s="4">
        <f t="shared" si="28"/>
        <v>24.730931124424842</v>
      </c>
      <c r="AQ56" s="4">
        <f t="shared" si="29"/>
        <v>2.6705520471504025</v>
      </c>
      <c r="AR56" s="6">
        <f t="shared" ref="AR56" si="218">SUMPRODUCT($AI$1:$AN$1,AI56:AN56)</f>
        <v>0.35989646776148543</v>
      </c>
      <c r="AS56" s="2">
        <f t="shared" si="45"/>
        <v>0.95274047238292647</v>
      </c>
      <c r="AT56" s="2">
        <f t="shared" si="75"/>
        <v>0.95696252434716167</v>
      </c>
      <c r="AU56" s="2">
        <f t="shared" si="76"/>
        <v>0.99502617382869252</v>
      </c>
      <c r="AV56" s="2">
        <f t="shared" si="77"/>
        <v>1.9549314417843766</v>
      </c>
      <c r="AW56" s="2">
        <f t="shared" si="78"/>
        <v>1.1636108993969836</v>
      </c>
      <c r="AX56" s="2">
        <f t="shared" si="79"/>
        <v>0.99958067719569232</v>
      </c>
      <c r="AY56" s="2">
        <f t="shared" si="80"/>
        <v>0.93993577452196131</v>
      </c>
    </row>
    <row r="57" spans="1:51" x14ac:dyDescent="0.5">
      <c r="A57" t="s">
        <v>69</v>
      </c>
      <c r="B57">
        <v>50</v>
      </c>
      <c r="C57">
        <v>50</v>
      </c>
      <c r="D57">
        <v>50</v>
      </c>
      <c r="E57">
        <v>75</v>
      </c>
      <c r="F57">
        <v>50</v>
      </c>
      <c r="G57">
        <v>50</v>
      </c>
      <c r="H57">
        <v>100000</v>
      </c>
      <c r="I57">
        <v>51988</v>
      </c>
      <c r="J57">
        <f t="shared" si="10"/>
        <v>48012</v>
      </c>
      <c r="K57">
        <v>455882</v>
      </c>
      <c r="L57">
        <v>436085</v>
      </c>
      <c r="M57">
        <v>416882</v>
      </c>
      <c r="N57">
        <v>67852</v>
      </c>
      <c r="O57">
        <v>118733</v>
      </c>
      <c r="P57">
        <v>21411</v>
      </c>
      <c r="Q57">
        <v>1722</v>
      </c>
      <c r="R57">
        <v>26830</v>
      </c>
      <c r="S57">
        <v>66240</v>
      </c>
      <c r="T57">
        <v>224078</v>
      </c>
      <c r="U57">
        <v>40340</v>
      </c>
      <c r="V57">
        <v>98390</v>
      </c>
      <c r="W57">
        <v>3242</v>
      </c>
      <c r="X57">
        <v>2551</v>
      </c>
      <c r="Y57" s="6">
        <v>0.28499999999999998</v>
      </c>
      <c r="Z57" s="6">
        <v>0.34899999999999998</v>
      </c>
      <c r="AA57" s="6">
        <v>0.53800000000000003</v>
      </c>
      <c r="AB57" s="6">
        <v>0.88600000000000001</v>
      </c>
      <c r="AC57" s="9">
        <f t="shared" si="211"/>
        <v>0.51988000000000001</v>
      </c>
      <c r="AD57" s="6">
        <f t="shared" si="212"/>
        <v>4.5588199999999999</v>
      </c>
      <c r="AE57" s="12">
        <f t="shared" si="213"/>
        <v>3.1190400000000018</v>
      </c>
      <c r="AF57" s="4">
        <f t="shared" si="214"/>
        <v>29.813399999999916</v>
      </c>
      <c r="AG57" s="6">
        <f t="shared" si="215"/>
        <v>4.3608500000000001</v>
      </c>
      <c r="AH57">
        <f t="shared" ref="AH57" si="219">ROUND((M57+U57)*1.02,0)</f>
        <v>466366</v>
      </c>
      <c r="AI57" s="2">
        <f t="shared" ref="AI57" si="220">(O57-SUM(P57:R57))/$AH57</f>
        <v>0.14745929162932117</v>
      </c>
      <c r="AJ57" s="9">
        <f t="shared" ref="AJ57" si="221">P57/$AH57</f>
        <v>4.5910293632040071E-2</v>
      </c>
      <c r="AK57" s="9">
        <f t="shared" ref="AK57" si="222">Q57/$AH57</f>
        <v>3.692378947007286E-3</v>
      </c>
      <c r="AL57" s="9">
        <f t="shared" ref="AL57" si="223">R57/$AH57</f>
        <v>5.7529922850293548E-2</v>
      </c>
      <c r="AM57" s="9">
        <f t="shared" ref="AM57" si="224">U57/$AH57</f>
        <v>8.6498586946732819E-2</v>
      </c>
      <c r="AN57" s="2">
        <f t="shared" ref="AN57" si="225">V57/$AH57</f>
        <v>0.2109716402996788</v>
      </c>
      <c r="AO57" s="7">
        <f t="shared" ref="AO57" si="226">1-SUM(AI57:AN57)-0.02</f>
        <v>0.4279378856949263</v>
      </c>
      <c r="AP57" s="4">
        <f t="shared" si="28"/>
        <v>30.67254039221416</v>
      </c>
      <c r="AQ57" s="4">
        <f t="shared" si="29"/>
        <v>3.2472524784213586</v>
      </c>
      <c r="AR57" s="6">
        <f t="shared" ref="AR57" si="227">SUMPRODUCT($AI$1:$AN$1,AI57:AN57)</f>
        <v>0.3698645698871702</v>
      </c>
      <c r="AS57" s="2">
        <f t="shared" si="45"/>
        <v>0.93777310147424464</v>
      </c>
      <c r="AT57" s="2">
        <f t="shared" si="75"/>
        <v>0.95403781586482972</v>
      </c>
      <c r="AU57" s="2">
        <f t="shared" si="76"/>
        <v>0.97195594447743494</v>
      </c>
      <c r="AV57" s="2">
        <f t="shared" si="77"/>
        <v>2.187284324656392</v>
      </c>
      <c r="AW57" s="2">
        <f t="shared" si="78"/>
        <v>1.1726564865482372</v>
      </c>
      <c r="AX57" s="2">
        <f t="shared" si="79"/>
        <v>0.99666455926594333</v>
      </c>
      <c r="AY57" s="2">
        <f t="shared" si="80"/>
        <v>0.93213913162758621</v>
      </c>
    </row>
    <row r="58" spans="1:51" x14ac:dyDescent="0.5">
      <c r="A58" t="s">
        <v>70</v>
      </c>
      <c r="B58">
        <v>50</v>
      </c>
      <c r="C58">
        <v>50</v>
      </c>
      <c r="D58">
        <v>50</v>
      </c>
      <c r="E58">
        <v>80</v>
      </c>
      <c r="F58">
        <v>50</v>
      </c>
      <c r="G58">
        <v>50</v>
      </c>
      <c r="H58">
        <v>100000</v>
      </c>
      <c r="I58">
        <v>52830</v>
      </c>
      <c r="J58">
        <f t="shared" si="10"/>
        <v>47170</v>
      </c>
      <c r="K58">
        <v>463161</v>
      </c>
      <c r="L58">
        <v>435649</v>
      </c>
      <c r="M58">
        <v>409046</v>
      </c>
      <c r="N58">
        <v>72201</v>
      </c>
      <c r="O58">
        <v>119538</v>
      </c>
      <c r="P58">
        <v>20765</v>
      </c>
      <c r="Q58">
        <v>1626</v>
      </c>
      <c r="R58">
        <v>30559</v>
      </c>
      <c r="S58">
        <v>69713</v>
      </c>
      <c r="T58">
        <v>235232</v>
      </c>
      <c r="U58">
        <v>49422</v>
      </c>
      <c r="V58">
        <v>96554</v>
      </c>
      <c r="W58">
        <v>3139</v>
      </c>
      <c r="X58">
        <v>2488</v>
      </c>
      <c r="Y58" s="6">
        <v>0.29199999999999998</v>
      </c>
      <c r="Z58" s="6">
        <v>0.36899999999999999</v>
      </c>
      <c r="AA58" s="6">
        <v>0.57499999999999996</v>
      </c>
      <c r="AB58" s="6">
        <v>0.94399999999999995</v>
      </c>
      <c r="AC58" s="9">
        <f t="shared" si="211"/>
        <v>0.52829999999999999</v>
      </c>
      <c r="AD58" s="6">
        <f t="shared" si="212"/>
        <v>4.6316100000000002</v>
      </c>
      <c r="AE58" s="12">
        <f t="shared" si="213"/>
        <v>4.4830799999999993</v>
      </c>
      <c r="AF58" s="4">
        <f t="shared" si="214"/>
        <v>41.605379999999975</v>
      </c>
      <c r="AG58" s="6">
        <f t="shared" ref="AG58" si="228">L58/H58</f>
        <v>4.35649</v>
      </c>
      <c r="AH58">
        <f t="shared" ref="AH58" si="229">ROUND((M58+U58)*1.02,0)</f>
        <v>467637</v>
      </c>
      <c r="AI58" s="2">
        <f t="shared" ref="AI58" si="230">(O58-SUM(P58:R58))/$AH58</f>
        <v>0.1423924967442696</v>
      </c>
      <c r="AJ58" s="9">
        <f t="shared" ref="AJ58" si="231">P58/$AH58</f>
        <v>4.4404099761139515E-2</v>
      </c>
      <c r="AK58" s="9">
        <f t="shared" ref="AK58" si="232">Q58/$AH58</f>
        <v>3.4770559215801999E-3</v>
      </c>
      <c r="AL58" s="9">
        <f t="shared" ref="AL58" si="233">R58/$AH58</f>
        <v>6.5347694900104142E-2</v>
      </c>
      <c r="AM58" s="9">
        <f t="shared" ref="AM58" si="234">U58/$AH58</f>
        <v>0.10568453736552069</v>
      </c>
      <c r="AN58" s="2">
        <f t="shared" ref="AN58" si="235">V58/$AH58</f>
        <v>0.20647211405427715</v>
      </c>
      <c r="AO58" s="7">
        <f t="shared" ref="AO58" si="236">1-SUM(AI58:AN58)-0.02</f>
        <v>0.41222200125310871</v>
      </c>
      <c r="AP58" s="4">
        <f t="shared" si="28"/>
        <v>43.064970646737947</v>
      </c>
      <c r="AQ58" s="4">
        <f t="shared" si="29"/>
        <v>4.4500781019477911</v>
      </c>
      <c r="AR58" s="6">
        <f t="shared" ref="AR58" si="237">SUMPRODUCT($AI$1:$AN$1,AI58:AN58)</f>
        <v>0.39215940996969872</v>
      </c>
      <c r="AS58" s="2">
        <f t="shared" si="45"/>
        <v>0.90555062229787064</v>
      </c>
      <c r="AT58" s="2">
        <f t="shared" si="75"/>
        <v>0.92273838828155408</v>
      </c>
      <c r="AU58" s="2">
        <f t="shared" si="76"/>
        <v>0.91527582102576432</v>
      </c>
      <c r="AV58" s="2">
        <f t="shared" si="77"/>
        <v>2.4845155638288312</v>
      </c>
      <c r="AW58" s="2">
        <f t="shared" si="78"/>
        <v>1.4327593391305506</v>
      </c>
      <c r="AX58" s="2">
        <f t="shared" si="79"/>
        <v>0.97540806082895604</v>
      </c>
      <c r="AY58" s="2">
        <f t="shared" si="80"/>
        <v>0.89790661479265754</v>
      </c>
    </row>
    <row r="59" spans="1:51" x14ac:dyDescent="0.5">
      <c r="A59" t="s">
        <v>121</v>
      </c>
      <c r="B59">
        <v>50</v>
      </c>
      <c r="C59">
        <v>50</v>
      </c>
      <c r="D59">
        <v>50</v>
      </c>
      <c r="E59">
        <v>50</v>
      </c>
      <c r="F59">
        <v>20</v>
      </c>
      <c r="G59">
        <v>50</v>
      </c>
      <c r="H59">
        <v>100000</v>
      </c>
      <c r="I59">
        <v>49027</v>
      </c>
      <c r="J59">
        <f t="shared" si="10"/>
        <v>50973</v>
      </c>
      <c r="K59">
        <v>425387</v>
      </c>
      <c r="L59">
        <v>436415</v>
      </c>
      <c r="M59">
        <v>438233</v>
      </c>
      <c r="N59">
        <v>48035</v>
      </c>
      <c r="O59">
        <v>114112</v>
      </c>
      <c r="P59">
        <v>23254</v>
      </c>
      <c r="Q59">
        <v>1824</v>
      </c>
      <c r="R59">
        <v>12811</v>
      </c>
      <c r="S59">
        <v>46555</v>
      </c>
      <c r="T59">
        <v>179447</v>
      </c>
      <c r="U59">
        <v>5544</v>
      </c>
      <c r="V59">
        <v>101744</v>
      </c>
      <c r="W59">
        <v>2740</v>
      </c>
      <c r="X59">
        <v>2162</v>
      </c>
      <c r="Y59" s="6">
        <v>0.26</v>
      </c>
      <c r="Z59" s="6">
        <v>0.27100000000000002</v>
      </c>
      <c r="AA59" s="6">
        <v>0.40899999999999997</v>
      </c>
      <c r="AB59" s="6">
        <v>0.68</v>
      </c>
      <c r="AC59" s="9">
        <f t="shared" ref="AC59:AC70" si="238">I59/H59</f>
        <v>0.49026999999999998</v>
      </c>
      <c r="AD59" s="6">
        <f t="shared" ref="AD59:AD70" si="239">K59/H59</f>
        <v>4.25387</v>
      </c>
      <c r="AE59" s="12">
        <f t="shared" ref="AE59:AE70" si="240">(AC59-$AC$7)*162</f>
        <v>-1.6777800000000023</v>
      </c>
      <c r="AF59" s="4">
        <f t="shared" ref="AF59:AF70" si="241">(AD59-$AD$7)*162</f>
        <v>-19.588500000000053</v>
      </c>
      <c r="AG59" s="6">
        <f t="shared" ref="AG59:AG70" si="242">L59/H59</f>
        <v>4.3641500000000004</v>
      </c>
      <c r="AH59">
        <f t="shared" ref="AH59:AH70" si="243">ROUND((M59+U59)*1.02,0)</f>
        <v>452653</v>
      </c>
      <c r="AI59" s="2">
        <f t="shared" ref="AI59:AI70" si="244">(O59-SUM(P59:R59))/$AH59</f>
        <v>0.16839168192854129</v>
      </c>
      <c r="AJ59" s="9">
        <f t="shared" ref="AJ59:AJ70" si="245">P59/$AH59</f>
        <v>5.1372685036882554E-2</v>
      </c>
      <c r="AK59" s="9">
        <f t="shared" ref="AK59:AK70" si="246">Q59/$AH59</f>
        <v>4.0295767397984768E-3</v>
      </c>
      <c r="AL59" s="9">
        <f t="shared" ref="AL59:AL70" si="247">R59/$AH59</f>
        <v>2.8302032682871868E-2</v>
      </c>
      <c r="AM59" s="9">
        <f t="shared" ref="AM59:AM70" si="248">U59/$AH59</f>
        <v>1.2247792459124319E-2</v>
      </c>
      <c r="AN59" s="2">
        <f t="shared" ref="AN59:AN70" si="249">V59/$AH59</f>
        <v>0.22477261831910977</v>
      </c>
      <c r="AO59" s="7">
        <f t="shared" ref="AO59:AO70" si="250">1-SUM(AI59:AN59)-0.02</f>
        <v>0.49088361283367177</v>
      </c>
      <c r="AP59" s="4">
        <f t="shared" si="28"/>
        <v>-17.297225850340055</v>
      </c>
      <c r="AQ59" s="4">
        <f t="shared" si="29"/>
        <v>-1.408756295164814</v>
      </c>
      <c r="AR59" s="6">
        <f t="shared" ref="AR59:AR70" si="251">SUMPRODUCT($AI$1:$AN$1,AI59:AN59)</f>
        <v>0.28554815719767679</v>
      </c>
      <c r="AS59" s="2">
        <f t="shared" ref="AS59:AS70" si="252">AI59/AI$7</f>
        <v>1.0708934518792494</v>
      </c>
      <c r="AT59" s="2">
        <f t="shared" ref="AT59:AT70" si="253">AJ59/AJ$7</f>
        <v>1.067548916600588</v>
      </c>
      <c r="AU59" s="2">
        <f t="shared" ref="AU59:AU70" si="254">AK59/AK$7</f>
        <v>1.0607175271513114</v>
      </c>
      <c r="AV59" s="2">
        <f t="shared" ref="AV59:AV70" si="255">AL59/AL$7</f>
        <v>1.0760416384400324</v>
      </c>
      <c r="AW59" s="2">
        <f t="shared" ref="AW59:AW70" si="256">AM59/AM$7</f>
        <v>0.16604263468411734</v>
      </c>
      <c r="AX59" s="2">
        <f t="shared" ref="AX59:AX70" si="257">AN59/AN$7</f>
        <v>1.061862638285648</v>
      </c>
      <c r="AY59" s="2">
        <f t="shared" ref="AY59:AY70" si="258">AO59/AO$7</f>
        <v>1.0692482247837027</v>
      </c>
    </row>
    <row r="60" spans="1:51" x14ac:dyDescent="0.5">
      <c r="A60" t="s">
        <v>115</v>
      </c>
      <c r="B60">
        <v>50</v>
      </c>
      <c r="C60">
        <v>50</v>
      </c>
      <c r="D60">
        <v>50</v>
      </c>
      <c r="E60">
        <v>50</v>
      </c>
      <c r="F60">
        <v>25</v>
      </c>
      <c r="G60">
        <v>50</v>
      </c>
      <c r="H60">
        <v>100000</v>
      </c>
      <c r="I60">
        <v>49142</v>
      </c>
      <c r="J60">
        <f t="shared" si="10"/>
        <v>50858</v>
      </c>
      <c r="K60">
        <v>425656</v>
      </c>
      <c r="L60">
        <v>436040</v>
      </c>
      <c r="M60">
        <v>434843</v>
      </c>
      <c r="N60">
        <v>48405</v>
      </c>
      <c r="O60">
        <v>113192</v>
      </c>
      <c r="P60">
        <v>22757</v>
      </c>
      <c r="Q60">
        <v>1828</v>
      </c>
      <c r="R60">
        <v>12633</v>
      </c>
      <c r="S60">
        <v>46496</v>
      </c>
      <c r="T60">
        <v>177504</v>
      </c>
      <c r="U60">
        <v>9315</v>
      </c>
      <c r="V60">
        <v>101491</v>
      </c>
      <c r="W60">
        <v>2754</v>
      </c>
      <c r="X60">
        <v>2270</v>
      </c>
      <c r="Y60" s="6">
        <v>0.26</v>
      </c>
      <c r="Z60" s="6">
        <v>0.27700000000000002</v>
      </c>
      <c r="AA60" s="6">
        <v>0.40799999999999997</v>
      </c>
      <c r="AB60" s="6">
        <v>0.68500000000000005</v>
      </c>
      <c r="AC60" s="9">
        <f t="shared" si="238"/>
        <v>0.49142000000000002</v>
      </c>
      <c r="AD60" s="6">
        <f t="shared" si="239"/>
        <v>4.2565600000000003</v>
      </c>
      <c r="AE60" s="12">
        <f t="shared" si="240"/>
        <v>-1.4914799999999957</v>
      </c>
      <c r="AF60" s="4">
        <f t="shared" si="241"/>
        <v>-19.152720000000006</v>
      </c>
      <c r="AG60" s="6">
        <f t="shared" si="242"/>
        <v>4.3604000000000003</v>
      </c>
      <c r="AH60">
        <f t="shared" si="243"/>
        <v>453041</v>
      </c>
      <c r="AI60" s="2">
        <f t="shared" si="244"/>
        <v>0.16769784633178897</v>
      </c>
      <c r="AJ60" s="9">
        <f t="shared" si="245"/>
        <v>5.0231656737469675E-2</v>
      </c>
      <c r="AK60" s="9">
        <f t="shared" si="246"/>
        <v>4.0349548937071919E-3</v>
      </c>
      <c r="AL60" s="9">
        <f t="shared" si="247"/>
        <v>2.7884893420242318E-2</v>
      </c>
      <c r="AM60" s="9">
        <f t="shared" si="248"/>
        <v>2.0561052973130468E-2</v>
      </c>
      <c r="AN60" s="2">
        <f t="shared" si="249"/>
        <v>0.22402166691314915</v>
      </c>
      <c r="AO60" s="7">
        <f t="shared" si="250"/>
        <v>0.48556792873051224</v>
      </c>
      <c r="AP60" s="4">
        <f t="shared" si="28"/>
        <v>-15.501544740580812</v>
      </c>
      <c r="AQ60" s="4">
        <f t="shared" si="29"/>
        <v>-1.2344651185239495</v>
      </c>
      <c r="AR60" s="6">
        <f>SUMPRODUCT($AI$1:$AN$1,AI60:AN60)</f>
        <v>0.28868934599738216</v>
      </c>
      <c r="AS60" s="2">
        <f t="shared" si="252"/>
        <v>1.066480977410599</v>
      </c>
      <c r="AT60" s="2">
        <f t="shared" si="253"/>
        <v>1.0438378038959608</v>
      </c>
      <c r="AU60" s="2">
        <f t="shared" si="254"/>
        <v>1.0621332346767069</v>
      </c>
      <c r="AV60" s="2">
        <f t="shared" si="255"/>
        <v>1.0601820279079162</v>
      </c>
      <c r="AW60" s="2">
        <f t="shared" si="256"/>
        <v>0.27874504070281891</v>
      </c>
      <c r="AX60" s="2">
        <f t="shared" si="257"/>
        <v>1.0583150209329613</v>
      </c>
      <c r="AY60" s="2">
        <f t="shared" si="258"/>
        <v>1.057669541686086</v>
      </c>
    </row>
    <row r="61" spans="1:51" x14ac:dyDescent="0.5">
      <c r="A61" t="s">
        <v>116</v>
      </c>
      <c r="B61">
        <v>50</v>
      </c>
      <c r="C61">
        <v>50</v>
      </c>
      <c r="D61">
        <v>50</v>
      </c>
      <c r="E61">
        <v>50</v>
      </c>
      <c r="F61">
        <v>30</v>
      </c>
      <c r="G61">
        <v>50</v>
      </c>
      <c r="H61">
        <v>100000</v>
      </c>
      <c r="I61">
        <v>49616</v>
      </c>
      <c r="J61">
        <f t="shared" si="10"/>
        <v>50384</v>
      </c>
      <c r="K61">
        <v>428116</v>
      </c>
      <c r="L61">
        <v>432967</v>
      </c>
      <c r="M61">
        <v>430858</v>
      </c>
      <c r="N61">
        <v>49456</v>
      </c>
      <c r="O61">
        <v>112196</v>
      </c>
      <c r="P61">
        <v>22937</v>
      </c>
      <c r="Q61">
        <v>1688</v>
      </c>
      <c r="R61">
        <v>12633</v>
      </c>
      <c r="S61">
        <v>46071</v>
      </c>
      <c r="T61">
        <v>176408</v>
      </c>
      <c r="U61">
        <v>13946</v>
      </c>
      <c r="V61">
        <v>100395</v>
      </c>
      <c r="W61">
        <v>2929</v>
      </c>
      <c r="X61">
        <v>2269</v>
      </c>
      <c r="Y61" s="6">
        <v>0.26</v>
      </c>
      <c r="Z61" s="6">
        <v>0.28499999999999998</v>
      </c>
      <c r="AA61" s="6">
        <v>0.40899999999999997</v>
      </c>
      <c r="AB61" s="6">
        <v>0.69399999999999995</v>
      </c>
      <c r="AC61" s="9">
        <f t="shared" si="238"/>
        <v>0.49615999999999999</v>
      </c>
      <c r="AD61" s="6">
        <f t="shared" si="239"/>
        <v>4.2811599999999999</v>
      </c>
      <c r="AE61" s="12">
        <f t="shared" si="240"/>
        <v>-0.72360000000000124</v>
      </c>
      <c r="AF61" s="4">
        <f t="shared" si="241"/>
        <v>-15.167520000000085</v>
      </c>
      <c r="AG61" s="6">
        <f t="shared" si="242"/>
        <v>4.3296700000000001</v>
      </c>
      <c r="AH61">
        <f t="shared" si="243"/>
        <v>453700</v>
      </c>
      <c r="AI61" s="2">
        <f t="shared" si="244"/>
        <v>0.16517081772096098</v>
      </c>
      <c r="AJ61" s="9">
        <f t="shared" si="245"/>
        <v>5.0555433105576371E-2</v>
      </c>
      <c r="AK61" s="9">
        <f t="shared" si="246"/>
        <v>3.7205201675115716E-3</v>
      </c>
      <c r="AL61" s="9">
        <f t="shared" si="247"/>
        <v>2.7844390566453603E-2</v>
      </c>
      <c r="AM61" s="9">
        <f t="shared" si="248"/>
        <v>3.0738373374476526E-2</v>
      </c>
      <c r="AN61" s="2">
        <f t="shared" si="249"/>
        <v>0.22128058188230107</v>
      </c>
      <c r="AO61" s="7">
        <f t="shared" si="250"/>
        <v>0.48068988318271988</v>
      </c>
      <c r="AP61" s="4">
        <f t="shared" si="28"/>
        <v>-13.901195157106031</v>
      </c>
      <c r="AQ61" s="4">
        <f t="shared" si="29"/>
        <v>-1.0791330774256644</v>
      </c>
      <c r="AR61" s="6">
        <f t="shared" si="251"/>
        <v>0.29357467489530531</v>
      </c>
      <c r="AS61" s="2">
        <f t="shared" si="252"/>
        <v>1.0504102406553502</v>
      </c>
      <c r="AT61" s="2">
        <f t="shared" si="253"/>
        <v>1.050566031372197</v>
      </c>
      <c r="AU61" s="2">
        <f t="shared" si="254"/>
        <v>0.97936364204763138</v>
      </c>
      <c r="AV61" s="2">
        <f t="shared" si="255"/>
        <v>1.0586421117598199</v>
      </c>
      <c r="AW61" s="2">
        <f t="shared" si="256"/>
        <v>0.41671840195168669</v>
      </c>
      <c r="AX61" s="2">
        <f t="shared" si="257"/>
        <v>1.0453656866039489</v>
      </c>
      <c r="AY61" s="2">
        <f t="shared" si="258"/>
        <v>1.0470441278282427</v>
      </c>
    </row>
    <row r="62" spans="1:51" x14ac:dyDescent="0.5">
      <c r="A62" t="s">
        <v>114</v>
      </c>
      <c r="B62">
        <v>50</v>
      </c>
      <c r="C62">
        <v>50</v>
      </c>
      <c r="D62">
        <v>50</v>
      </c>
      <c r="E62">
        <v>50</v>
      </c>
      <c r="F62">
        <v>35</v>
      </c>
      <c r="G62">
        <v>50</v>
      </c>
      <c r="H62">
        <v>100000</v>
      </c>
      <c r="I62">
        <v>49666</v>
      </c>
      <c r="J62">
        <f t="shared" si="10"/>
        <v>50334</v>
      </c>
      <c r="K62">
        <v>429551</v>
      </c>
      <c r="L62">
        <v>433615</v>
      </c>
      <c r="M62">
        <v>426669</v>
      </c>
      <c r="N62">
        <v>50104</v>
      </c>
      <c r="O62">
        <v>110872</v>
      </c>
      <c r="P62">
        <v>22574</v>
      </c>
      <c r="Q62">
        <v>1735</v>
      </c>
      <c r="R62">
        <v>12542</v>
      </c>
      <c r="S62">
        <v>45684</v>
      </c>
      <c r="T62">
        <v>174542</v>
      </c>
      <c r="U62">
        <v>18658</v>
      </c>
      <c r="V62">
        <v>99300</v>
      </c>
      <c r="W62">
        <v>2904</v>
      </c>
      <c r="X62">
        <v>2392</v>
      </c>
      <c r="Y62" s="6">
        <v>0.26</v>
      </c>
      <c r="Z62" s="6">
        <v>0.29199999999999998</v>
      </c>
      <c r="AA62" s="6">
        <v>0.40899999999999997</v>
      </c>
      <c r="AB62" s="6">
        <v>0.70099999999999996</v>
      </c>
      <c r="AC62" s="9">
        <f t="shared" si="238"/>
        <v>0.49665999999999999</v>
      </c>
      <c r="AD62" s="6">
        <f t="shared" si="239"/>
        <v>4.2955100000000002</v>
      </c>
      <c r="AE62" s="12">
        <f t="shared" si="240"/>
        <v>-0.64260000000000117</v>
      </c>
      <c r="AF62" s="4">
        <f t="shared" si="241"/>
        <v>-12.842820000000035</v>
      </c>
      <c r="AG62" s="6">
        <f t="shared" si="242"/>
        <v>4.3361499999999999</v>
      </c>
      <c r="AH62">
        <f t="shared" si="243"/>
        <v>454234</v>
      </c>
      <c r="AI62" s="2">
        <f t="shared" si="244"/>
        <v>0.16295785872479823</v>
      </c>
      <c r="AJ62" s="9">
        <f t="shared" si="245"/>
        <v>4.9696852283184441E-2</v>
      </c>
      <c r="AK62" s="9">
        <f t="shared" si="246"/>
        <v>3.8196172017066093E-3</v>
      </c>
      <c r="AL62" s="9">
        <f t="shared" si="247"/>
        <v>2.7611319275967893E-2</v>
      </c>
      <c r="AM62" s="9">
        <f t="shared" si="248"/>
        <v>4.107574510054289E-2</v>
      </c>
      <c r="AN62" s="2">
        <f t="shared" si="249"/>
        <v>0.21860979142908721</v>
      </c>
      <c r="AO62" s="7">
        <f t="shared" si="250"/>
        <v>0.47622881598471278</v>
      </c>
      <c r="AP62" s="4">
        <f t="shared" si="28"/>
        <v>-11.253834454859771</v>
      </c>
      <c r="AQ62" s="4">
        <f t="shared" si="29"/>
        <v>-0.8221767563508442</v>
      </c>
      <c r="AR62" s="6">
        <f t="shared" si="251"/>
        <v>0.29766138157865774</v>
      </c>
      <c r="AS62" s="2">
        <f t="shared" si="252"/>
        <v>1.0363368418322798</v>
      </c>
      <c r="AT62" s="2">
        <f t="shared" si="253"/>
        <v>1.0327243120596772</v>
      </c>
      <c r="AU62" s="2">
        <f t="shared" si="254"/>
        <v>1.0054492504990655</v>
      </c>
      <c r="AV62" s="2">
        <f t="shared" si="255"/>
        <v>1.049780754835469</v>
      </c>
      <c r="AW62" s="2">
        <f t="shared" si="256"/>
        <v>0.55686157002328884</v>
      </c>
      <c r="AX62" s="2">
        <f t="shared" si="257"/>
        <v>1.032748435365048</v>
      </c>
      <c r="AY62" s="2">
        <f t="shared" si="258"/>
        <v>1.0373269809172374</v>
      </c>
    </row>
    <row r="63" spans="1:51" x14ac:dyDescent="0.5">
      <c r="A63" t="s">
        <v>117</v>
      </c>
      <c r="B63">
        <v>50</v>
      </c>
      <c r="C63">
        <v>50</v>
      </c>
      <c r="D63">
        <v>50</v>
      </c>
      <c r="E63">
        <v>50</v>
      </c>
      <c r="F63">
        <v>40</v>
      </c>
      <c r="G63">
        <v>50</v>
      </c>
      <c r="H63">
        <v>100000</v>
      </c>
      <c r="I63">
        <v>49819</v>
      </c>
      <c r="J63">
        <f t="shared" si="10"/>
        <v>50181</v>
      </c>
      <c r="K63">
        <v>430500</v>
      </c>
      <c r="L63">
        <v>434402</v>
      </c>
      <c r="M63">
        <v>422193</v>
      </c>
      <c r="N63">
        <v>50732</v>
      </c>
      <c r="O63">
        <v>109456</v>
      </c>
      <c r="P63">
        <v>22190</v>
      </c>
      <c r="Q63">
        <v>1766</v>
      </c>
      <c r="R63">
        <v>12229</v>
      </c>
      <c r="S63">
        <v>45173</v>
      </c>
      <c r="T63">
        <v>171865</v>
      </c>
      <c r="U63">
        <v>24217</v>
      </c>
      <c r="V63">
        <v>98962</v>
      </c>
      <c r="W63">
        <v>3187</v>
      </c>
      <c r="X63">
        <v>2460</v>
      </c>
      <c r="Y63" s="6">
        <v>0.25900000000000001</v>
      </c>
      <c r="Z63" s="6">
        <v>0.3</v>
      </c>
      <c r="AA63" s="6">
        <v>0.40699999999999997</v>
      </c>
      <c r="AB63" s="6">
        <v>0.70699999999999996</v>
      </c>
      <c r="AC63" s="9">
        <f t="shared" si="238"/>
        <v>0.49819000000000002</v>
      </c>
      <c r="AD63" s="6">
        <f t="shared" si="239"/>
        <v>4.3049999999999997</v>
      </c>
      <c r="AE63" s="12">
        <f t="shared" si="240"/>
        <v>-0.39473999999999609</v>
      </c>
      <c r="AF63" s="4">
        <f t="shared" si="241"/>
        <v>-11.305440000000107</v>
      </c>
      <c r="AG63" s="6">
        <f t="shared" si="242"/>
        <v>4.3440200000000004</v>
      </c>
      <c r="AH63">
        <f t="shared" si="243"/>
        <v>455338</v>
      </c>
      <c r="AI63" s="2">
        <f t="shared" si="244"/>
        <v>0.1609156275118703</v>
      </c>
      <c r="AJ63" s="9">
        <f t="shared" si="245"/>
        <v>4.8733029090477845E-2</v>
      </c>
      <c r="AK63" s="9">
        <f t="shared" si="246"/>
        <v>3.8784375562768755E-3</v>
      </c>
      <c r="AL63" s="9">
        <f t="shared" si="247"/>
        <v>2.6856972183301197E-2</v>
      </c>
      <c r="AM63" s="9">
        <f t="shared" si="248"/>
        <v>5.3184667214245245E-2</v>
      </c>
      <c r="AN63" s="2">
        <f t="shared" si="249"/>
        <v>0.21733745042144517</v>
      </c>
      <c r="AO63" s="7">
        <f t="shared" si="250"/>
        <v>0.46909381602238331</v>
      </c>
      <c r="AP63" s="4">
        <f t="shared" si="28"/>
        <v>-8.7867354479280948</v>
      </c>
      <c r="AQ63" s="4">
        <f t="shared" si="29"/>
        <v>-0.5827168731507133</v>
      </c>
      <c r="AR63" s="6">
        <f t="shared" si="251"/>
        <v>0.30196743957236161</v>
      </c>
      <c r="AS63" s="2">
        <f t="shared" si="252"/>
        <v>1.0233491929882232</v>
      </c>
      <c r="AT63" s="2">
        <f t="shared" si="253"/>
        <v>1.0126956060570662</v>
      </c>
      <c r="AU63" s="2">
        <f t="shared" si="254"/>
        <v>1.020932708210571</v>
      </c>
      <c r="AV63" s="2">
        <f t="shared" si="255"/>
        <v>1.0211005221949072</v>
      </c>
      <c r="AW63" s="2">
        <f t="shared" si="256"/>
        <v>0.72102154723175815</v>
      </c>
      <c r="AX63" s="2">
        <f t="shared" si="257"/>
        <v>1.0267376881962995</v>
      </c>
      <c r="AY63" s="2">
        <f t="shared" si="258"/>
        <v>1.0217854434853542</v>
      </c>
    </row>
    <row r="64" spans="1:51" x14ac:dyDescent="0.5">
      <c r="A64" t="s">
        <v>83</v>
      </c>
      <c r="B64">
        <v>50</v>
      </c>
      <c r="C64">
        <v>50</v>
      </c>
      <c r="D64">
        <v>50</v>
      </c>
      <c r="E64">
        <v>50</v>
      </c>
      <c r="F64">
        <v>45</v>
      </c>
      <c r="G64">
        <v>50</v>
      </c>
      <c r="H64">
        <v>100000</v>
      </c>
      <c r="I64">
        <v>49932</v>
      </c>
      <c r="J64">
        <f t="shared" si="10"/>
        <v>50068</v>
      </c>
      <c r="K64">
        <v>433924</v>
      </c>
      <c r="L64">
        <v>434032</v>
      </c>
      <c r="M64">
        <v>417911</v>
      </c>
      <c r="N64">
        <v>52369</v>
      </c>
      <c r="O64">
        <v>108775</v>
      </c>
      <c r="P64">
        <v>22239</v>
      </c>
      <c r="Q64">
        <v>1812</v>
      </c>
      <c r="R64">
        <v>12222</v>
      </c>
      <c r="S64">
        <v>45200</v>
      </c>
      <c r="T64">
        <v>171304</v>
      </c>
      <c r="U64">
        <v>29772</v>
      </c>
      <c r="V64">
        <v>97476</v>
      </c>
      <c r="W64">
        <v>3180</v>
      </c>
      <c r="X64">
        <v>2514</v>
      </c>
      <c r="Y64" s="6">
        <v>0.26</v>
      </c>
      <c r="Z64" s="6">
        <v>0.31</v>
      </c>
      <c r="AA64" s="6">
        <v>0.41</v>
      </c>
      <c r="AB64" s="6">
        <v>0.72</v>
      </c>
      <c r="AC64" s="9">
        <f t="shared" si="238"/>
        <v>0.49931999999999999</v>
      </c>
      <c r="AD64" s="6">
        <f t="shared" si="239"/>
        <v>4.3392400000000002</v>
      </c>
      <c r="AE64" s="12">
        <f t="shared" si="240"/>
        <v>-0.21168000000000187</v>
      </c>
      <c r="AF64" s="4">
        <f t="shared" si="241"/>
        <v>-5.7585600000000277</v>
      </c>
      <c r="AG64" s="6">
        <f t="shared" si="242"/>
        <v>4.3403200000000002</v>
      </c>
      <c r="AH64">
        <f t="shared" si="243"/>
        <v>456637</v>
      </c>
      <c r="AI64" s="2">
        <f t="shared" si="244"/>
        <v>0.15877381815315009</v>
      </c>
      <c r="AJ64" s="9">
        <f t="shared" si="245"/>
        <v>4.8701703979309605E-2</v>
      </c>
      <c r="AK64" s="9">
        <f t="shared" si="246"/>
        <v>3.9681409960209092E-3</v>
      </c>
      <c r="AL64" s="9">
        <f t="shared" si="247"/>
        <v>2.6765242413558252E-2</v>
      </c>
      <c r="AM64" s="9">
        <f t="shared" si="248"/>
        <v>6.5198396100184616E-2</v>
      </c>
      <c r="AN64" s="2">
        <f t="shared" si="249"/>
        <v>0.21346496232236986</v>
      </c>
      <c r="AO64" s="7">
        <f t="shared" si="250"/>
        <v>0.46312773603540669</v>
      </c>
      <c r="AP64" s="4">
        <f t="shared" si="28"/>
        <v>-5.2156041057287439</v>
      </c>
      <c r="AQ64" s="4">
        <f t="shared" si="29"/>
        <v>-0.23609815550187357</v>
      </c>
      <c r="AR64" s="6">
        <f t="shared" si="251"/>
        <v>0.30861191712454311</v>
      </c>
      <c r="AS64" s="2">
        <f t="shared" si="252"/>
        <v>1.0097282730522819</v>
      </c>
      <c r="AT64" s="2">
        <f t="shared" si="253"/>
        <v>1.0120446552946905</v>
      </c>
      <c r="AU64" s="2">
        <f t="shared" si="254"/>
        <v>1.0445456127229731</v>
      </c>
      <c r="AV64" s="2">
        <f t="shared" si="255"/>
        <v>1.0176129616781793</v>
      </c>
      <c r="AW64" s="2">
        <f t="shared" si="256"/>
        <v>0.88389099519631653</v>
      </c>
      <c r="AX64" s="2">
        <f t="shared" si="257"/>
        <v>1.0084434205921555</v>
      </c>
      <c r="AY64" s="2">
        <f t="shared" si="258"/>
        <v>1.0087900607343032</v>
      </c>
    </row>
    <row r="65" spans="1:51" x14ac:dyDescent="0.5">
      <c r="A65" t="s">
        <v>113</v>
      </c>
      <c r="B65">
        <v>50</v>
      </c>
      <c r="C65">
        <v>50</v>
      </c>
      <c r="D65">
        <v>50</v>
      </c>
      <c r="E65">
        <v>50</v>
      </c>
      <c r="F65">
        <v>55</v>
      </c>
      <c r="G65">
        <v>50</v>
      </c>
      <c r="H65">
        <v>100000</v>
      </c>
      <c r="I65">
        <v>49910</v>
      </c>
      <c r="J65">
        <f t="shared" si="10"/>
        <v>50090</v>
      </c>
      <c r="K65">
        <v>436605</v>
      </c>
      <c r="L65">
        <v>437202</v>
      </c>
      <c r="M65">
        <v>410627</v>
      </c>
      <c r="N65">
        <v>53682</v>
      </c>
      <c r="O65">
        <v>107065</v>
      </c>
      <c r="P65">
        <v>21762</v>
      </c>
      <c r="Q65">
        <v>1712</v>
      </c>
      <c r="R65">
        <v>12069</v>
      </c>
      <c r="S65">
        <v>44627</v>
      </c>
      <c r="T65">
        <v>168458</v>
      </c>
      <c r="U65">
        <v>38067</v>
      </c>
      <c r="V65">
        <v>95609</v>
      </c>
      <c r="W65">
        <v>3375</v>
      </c>
      <c r="X65">
        <v>2693</v>
      </c>
      <c r="Y65" s="6">
        <v>0.26100000000000001</v>
      </c>
      <c r="Z65" s="6">
        <v>0.32400000000000001</v>
      </c>
      <c r="AA65" s="6">
        <v>0.41</v>
      </c>
      <c r="AB65" s="6">
        <v>0.73399999999999999</v>
      </c>
      <c r="AC65" s="9">
        <f t="shared" si="238"/>
        <v>0.49909999999999999</v>
      </c>
      <c r="AD65" s="6">
        <f t="shared" si="239"/>
        <v>4.3660500000000004</v>
      </c>
      <c r="AE65" s="12">
        <f t="shared" si="240"/>
        <v>-0.24732000000000154</v>
      </c>
      <c r="AF65" s="4">
        <f t="shared" si="241"/>
        <v>-1.4153399999999916</v>
      </c>
      <c r="AG65" s="6">
        <f t="shared" si="242"/>
        <v>4.37202</v>
      </c>
      <c r="AH65">
        <f t="shared" si="243"/>
        <v>457668</v>
      </c>
      <c r="AI65" s="2">
        <f t="shared" si="244"/>
        <v>0.1562748542611675</v>
      </c>
      <c r="AJ65" s="9">
        <f t="shared" si="245"/>
        <v>4.7549752222134825E-2</v>
      </c>
      <c r="AK65" s="9">
        <f t="shared" si="246"/>
        <v>3.7407028675808664E-3</v>
      </c>
      <c r="AL65" s="9">
        <f t="shared" si="247"/>
        <v>2.637064422244946E-2</v>
      </c>
      <c r="AM65" s="9">
        <f t="shared" si="248"/>
        <v>8.3176014053855635E-2</v>
      </c>
      <c r="AN65" s="2">
        <f t="shared" si="249"/>
        <v>0.20890470821643636</v>
      </c>
      <c r="AO65" s="7">
        <f t="shared" si="250"/>
        <v>0.45398332415637532</v>
      </c>
      <c r="AP65" s="4">
        <f t="shared" si="28"/>
        <v>-1.442057753447898</v>
      </c>
      <c r="AQ65" s="4">
        <f t="shared" si="29"/>
        <v>0.13016722996851846</v>
      </c>
      <c r="AR65" s="6">
        <f t="shared" si="251"/>
        <v>0.31675404441647659</v>
      </c>
      <c r="AS65" s="2">
        <f t="shared" si="252"/>
        <v>0.99383601496828411</v>
      </c>
      <c r="AT65" s="2">
        <f t="shared" si="253"/>
        <v>0.98810654792371744</v>
      </c>
      <c r="AU65" s="2">
        <f t="shared" si="254"/>
        <v>0.98467639450058742</v>
      </c>
      <c r="AV65" s="2">
        <f t="shared" si="255"/>
        <v>1.0026103613757937</v>
      </c>
      <c r="AW65" s="2">
        <f t="shared" si="256"/>
        <v>1.1276125523940166</v>
      </c>
      <c r="AX65" s="2">
        <f t="shared" si="257"/>
        <v>0.9869000338024676</v>
      </c>
      <c r="AY65" s="2">
        <f t="shared" si="258"/>
        <v>0.98887159959052429</v>
      </c>
    </row>
    <row r="66" spans="1:51" x14ac:dyDescent="0.5">
      <c r="A66" t="s">
        <v>112</v>
      </c>
      <c r="B66">
        <v>50</v>
      </c>
      <c r="C66">
        <v>50</v>
      </c>
      <c r="D66">
        <v>50</v>
      </c>
      <c r="E66">
        <v>50</v>
      </c>
      <c r="F66">
        <v>60</v>
      </c>
      <c r="G66">
        <v>50</v>
      </c>
      <c r="H66">
        <v>100000</v>
      </c>
      <c r="I66">
        <v>50210</v>
      </c>
      <c r="J66">
        <f t="shared" si="10"/>
        <v>49790</v>
      </c>
      <c r="K66">
        <v>437829</v>
      </c>
      <c r="L66">
        <v>434947</v>
      </c>
      <c r="M66">
        <v>407879</v>
      </c>
      <c r="N66">
        <v>53937</v>
      </c>
      <c r="O66">
        <v>106632</v>
      </c>
      <c r="P66">
        <v>21647</v>
      </c>
      <c r="Q66">
        <v>1646</v>
      </c>
      <c r="R66">
        <v>12013</v>
      </c>
      <c r="S66">
        <v>44495</v>
      </c>
      <c r="T66">
        <v>167610</v>
      </c>
      <c r="U66">
        <v>41874</v>
      </c>
      <c r="V66">
        <v>95317</v>
      </c>
      <c r="W66">
        <v>3414</v>
      </c>
      <c r="X66">
        <v>2735</v>
      </c>
      <c r="Y66">
        <v>0.26100000000000001</v>
      </c>
      <c r="Z66">
        <v>0.33100000000000002</v>
      </c>
      <c r="AA66">
        <v>0.41099999999999998</v>
      </c>
      <c r="AB66">
        <v>0.74199999999999999</v>
      </c>
      <c r="AC66" s="9">
        <f t="shared" si="238"/>
        <v>0.50209999999999999</v>
      </c>
      <c r="AD66" s="6">
        <f t="shared" si="239"/>
        <v>4.3782899999999998</v>
      </c>
      <c r="AE66" s="12">
        <f t="shared" si="240"/>
        <v>0.23867999999999889</v>
      </c>
      <c r="AF66" s="4">
        <f t="shared" si="241"/>
        <v>0.56753999999990512</v>
      </c>
      <c r="AG66" s="6">
        <f t="shared" si="242"/>
        <v>4.3494700000000002</v>
      </c>
      <c r="AH66">
        <f t="shared" si="243"/>
        <v>458748</v>
      </c>
      <c r="AI66" s="2">
        <f t="shared" si="244"/>
        <v>0.15547969691420999</v>
      </c>
      <c r="AJ66" s="9">
        <f t="shared" si="245"/>
        <v>4.7187126701369812E-2</v>
      </c>
      <c r="AK66" s="9">
        <f t="shared" si="246"/>
        <v>3.5880265418050867E-3</v>
      </c>
      <c r="AL66" s="9">
        <f t="shared" si="247"/>
        <v>2.6186490186333237E-2</v>
      </c>
      <c r="AM66" s="9">
        <f t="shared" si="248"/>
        <v>9.1278872060477648E-2</v>
      </c>
      <c r="AN66" s="2">
        <f t="shared" si="249"/>
        <v>0.20777638267632775</v>
      </c>
      <c r="AO66" s="7">
        <f t="shared" si="250"/>
        <v>0.44850340491947649</v>
      </c>
      <c r="AP66" s="4">
        <f t="shared" si="28"/>
        <v>0.17585192424849083</v>
      </c>
      <c r="AQ66" s="4">
        <f t="shared" si="29"/>
        <v>0.28720367697004251</v>
      </c>
      <c r="AR66" s="6">
        <f t="shared" si="251"/>
        <v>0.32082552948459719</v>
      </c>
      <c r="AS66" s="2">
        <f t="shared" si="252"/>
        <v>0.98877918088765637</v>
      </c>
      <c r="AT66" s="2">
        <f t="shared" si="253"/>
        <v>0.98057101651151879</v>
      </c>
      <c r="AU66" s="2">
        <f t="shared" si="254"/>
        <v>0.94448694901070407</v>
      </c>
      <c r="AV66" s="2">
        <f t="shared" si="255"/>
        <v>0.99560883562079849</v>
      </c>
      <c r="AW66" s="2">
        <f t="shared" si="256"/>
        <v>1.2374625434337085</v>
      </c>
      <c r="AX66" s="2">
        <f t="shared" si="257"/>
        <v>0.98156963927387852</v>
      </c>
      <c r="AY66" s="2">
        <f t="shared" si="258"/>
        <v>0.97693517767130755</v>
      </c>
    </row>
    <row r="67" spans="1:51" x14ac:dyDescent="0.5">
      <c r="A67" t="s">
        <v>108</v>
      </c>
      <c r="B67">
        <v>50</v>
      </c>
      <c r="C67">
        <v>50</v>
      </c>
      <c r="D67">
        <v>50</v>
      </c>
      <c r="E67">
        <v>50</v>
      </c>
      <c r="F67">
        <v>65</v>
      </c>
      <c r="G67">
        <v>50</v>
      </c>
      <c r="H67">
        <v>100000</v>
      </c>
      <c r="I67">
        <v>50228</v>
      </c>
      <c r="J67">
        <f t="shared" si="10"/>
        <v>49772</v>
      </c>
      <c r="K67">
        <v>439300</v>
      </c>
      <c r="L67">
        <v>435991</v>
      </c>
      <c r="M67">
        <v>404687</v>
      </c>
      <c r="N67">
        <v>54979</v>
      </c>
      <c r="O67">
        <v>104805</v>
      </c>
      <c r="P67">
        <v>21422</v>
      </c>
      <c r="Q67">
        <v>1648</v>
      </c>
      <c r="R67">
        <v>11839</v>
      </c>
      <c r="S67">
        <v>43790</v>
      </c>
      <c r="T67">
        <v>165040</v>
      </c>
      <c r="U67">
        <v>45332</v>
      </c>
      <c r="V67">
        <v>94494</v>
      </c>
      <c r="W67">
        <v>3451</v>
      </c>
      <c r="X67">
        <v>2792</v>
      </c>
      <c r="Y67">
        <v>0.25900000000000001</v>
      </c>
      <c r="Z67">
        <v>0.33400000000000002</v>
      </c>
      <c r="AA67">
        <v>0.40799999999999997</v>
      </c>
      <c r="AB67">
        <v>0.74199999999999999</v>
      </c>
      <c r="AC67" s="9">
        <f t="shared" si="238"/>
        <v>0.50227999999999995</v>
      </c>
      <c r="AD67" s="6">
        <f t="shared" si="239"/>
        <v>4.3929999999999998</v>
      </c>
      <c r="AE67" s="12">
        <f t="shared" si="240"/>
        <v>0.26783999999999208</v>
      </c>
      <c r="AF67" s="4">
        <f t="shared" si="241"/>
        <v>2.9505599999999053</v>
      </c>
      <c r="AG67" s="6">
        <f t="shared" si="242"/>
        <v>4.3599100000000002</v>
      </c>
      <c r="AH67">
        <f t="shared" si="243"/>
        <v>459019</v>
      </c>
      <c r="AI67" s="2">
        <f t="shared" si="244"/>
        <v>0.15227256388079796</v>
      </c>
      <c r="AJ67" s="9">
        <f t="shared" si="245"/>
        <v>4.6669092129083982E-2</v>
      </c>
      <c r="AK67" s="9">
        <f t="shared" si="246"/>
        <v>3.5902653267076089E-3</v>
      </c>
      <c r="AL67" s="9">
        <f t="shared" si="247"/>
        <v>2.5791960681366129E-2</v>
      </c>
      <c r="AM67" s="9">
        <f t="shared" si="248"/>
        <v>9.8758439193148861E-2</v>
      </c>
      <c r="AN67" s="2">
        <f t="shared" si="249"/>
        <v>0.20586075957640099</v>
      </c>
      <c r="AO67" s="7">
        <f t="shared" si="250"/>
        <v>0.44705691921249446</v>
      </c>
      <c r="AP67" s="4">
        <f t="shared" si="28"/>
        <v>1.1390336747817855</v>
      </c>
      <c r="AQ67" s="4">
        <f t="shared" si="29"/>
        <v>0.38069136791198449</v>
      </c>
      <c r="AR67" s="6">
        <f t="shared" si="251"/>
        <v>0.32191619519017733</v>
      </c>
      <c r="AS67" s="2">
        <f t="shared" si="252"/>
        <v>0.96838329360004072</v>
      </c>
      <c r="AT67" s="2">
        <f t="shared" si="253"/>
        <v>0.96980601082788853</v>
      </c>
      <c r="AU67" s="2">
        <f t="shared" si="254"/>
        <v>0.94507627105095038</v>
      </c>
      <c r="AV67" s="2">
        <f t="shared" si="255"/>
        <v>0.9806088467615296</v>
      </c>
      <c r="AW67" s="2">
        <f t="shared" si="256"/>
        <v>1.3388626150915404</v>
      </c>
      <c r="AX67" s="2">
        <f t="shared" si="257"/>
        <v>0.97251992221287376</v>
      </c>
      <c r="AY67" s="2">
        <f t="shared" si="258"/>
        <v>0.97378442618168792</v>
      </c>
    </row>
    <row r="68" spans="1:51" x14ac:dyDescent="0.5">
      <c r="A68" t="s">
        <v>118</v>
      </c>
      <c r="B68">
        <v>50</v>
      </c>
      <c r="C68">
        <v>50</v>
      </c>
      <c r="D68">
        <v>50</v>
      </c>
      <c r="E68">
        <v>50</v>
      </c>
      <c r="F68">
        <v>70</v>
      </c>
      <c r="G68">
        <v>50</v>
      </c>
      <c r="H68">
        <v>100000</v>
      </c>
      <c r="I68">
        <v>50406</v>
      </c>
      <c r="J68">
        <f t="shared" si="10"/>
        <v>49594</v>
      </c>
      <c r="K68">
        <v>438663</v>
      </c>
      <c r="L68">
        <v>435249</v>
      </c>
      <c r="M68">
        <v>401134</v>
      </c>
      <c r="N68">
        <v>55461</v>
      </c>
      <c r="O68">
        <v>104856</v>
      </c>
      <c r="P68">
        <v>21378</v>
      </c>
      <c r="Q68">
        <v>1681</v>
      </c>
      <c r="R68">
        <v>11841</v>
      </c>
      <c r="S68">
        <v>43981</v>
      </c>
      <c r="T68">
        <v>165119</v>
      </c>
      <c r="U68">
        <v>49262</v>
      </c>
      <c r="V68">
        <v>93414</v>
      </c>
      <c r="W68">
        <v>3584</v>
      </c>
      <c r="X68">
        <v>2857</v>
      </c>
      <c r="Y68">
        <v>0.26100000000000001</v>
      </c>
      <c r="Z68">
        <v>0.34300000000000003</v>
      </c>
      <c r="AA68">
        <v>0.41199999999999998</v>
      </c>
      <c r="AB68">
        <v>0.754</v>
      </c>
      <c r="AC68" s="9">
        <f t="shared" si="238"/>
        <v>0.50405999999999995</v>
      </c>
      <c r="AD68" s="6">
        <f t="shared" si="239"/>
        <v>4.3866300000000003</v>
      </c>
      <c r="AE68" s="12">
        <f t="shared" si="240"/>
        <v>0.5561999999999927</v>
      </c>
      <c r="AF68" s="4">
        <f t="shared" si="241"/>
        <v>1.9186199999999793</v>
      </c>
      <c r="AG68" s="6">
        <f t="shared" si="242"/>
        <v>4.3524900000000004</v>
      </c>
      <c r="AH68">
        <f t="shared" si="243"/>
        <v>459404</v>
      </c>
      <c r="AI68" s="2">
        <f t="shared" si="244"/>
        <v>0.15227555702605985</v>
      </c>
      <c r="AJ68" s="9">
        <f t="shared" si="245"/>
        <v>4.6534205187590875E-2</v>
      </c>
      <c r="AK68" s="9">
        <f t="shared" si="246"/>
        <v>3.6590887323575765E-3</v>
      </c>
      <c r="AL68" s="9">
        <f t="shared" si="247"/>
        <v>2.5774699393126748E-2</v>
      </c>
      <c r="AM68" s="9">
        <f t="shared" si="248"/>
        <v>0.10723023743807193</v>
      </c>
      <c r="AN68" s="2">
        <f t="shared" si="249"/>
        <v>0.20333736754577669</v>
      </c>
      <c r="AO68" s="7">
        <f t="shared" si="250"/>
        <v>0.44118884467701625</v>
      </c>
      <c r="AP68" s="4">
        <f t="shared" si="28"/>
        <v>4.1588598845228262</v>
      </c>
      <c r="AQ68" s="4">
        <f t="shared" si="29"/>
        <v>0.67379968234831311</v>
      </c>
      <c r="AR68" s="6">
        <f t="shared" si="251"/>
        <v>0.32792502895055331</v>
      </c>
      <c r="AS68" s="2">
        <f t="shared" si="252"/>
        <v>0.96840232862377096</v>
      </c>
      <c r="AT68" s="2">
        <f t="shared" si="253"/>
        <v>0.96700299579857585</v>
      </c>
      <c r="AU68" s="2">
        <f t="shared" si="254"/>
        <v>0.96319286179115204</v>
      </c>
      <c r="AV68" s="2">
        <f t="shared" si="255"/>
        <v>0.97995257358543619</v>
      </c>
      <c r="AW68" s="2">
        <f t="shared" si="256"/>
        <v>1.4537143082267685</v>
      </c>
      <c r="AX68" s="2">
        <f t="shared" si="257"/>
        <v>0.96059900524751807</v>
      </c>
      <c r="AY68" s="2">
        <f t="shared" si="258"/>
        <v>0.96100252001101993</v>
      </c>
    </row>
    <row r="69" spans="1:51" x14ac:dyDescent="0.5">
      <c r="A69" t="s">
        <v>119</v>
      </c>
      <c r="B69">
        <v>50</v>
      </c>
      <c r="C69">
        <v>50</v>
      </c>
      <c r="D69">
        <v>50</v>
      </c>
      <c r="E69">
        <v>50</v>
      </c>
      <c r="F69">
        <v>75</v>
      </c>
      <c r="G69">
        <v>50</v>
      </c>
      <c r="H69">
        <v>100000</v>
      </c>
      <c r="I69">
        <v>50252</v>
      </c>
      <c r="J69">
        <f t="shared" ref="J69:J114" si="259">H69-I69</f>
        <v>49748</v>
      </c>
      <c r="K69">
        <v>439715</v>
      </c>
      <c r="L69">
        <v>436970</v>
      </c>
      <c r="M69">
        <v>399092</v>
      </c>
      <c r="N69">
        <v>56049</v>
      </c>
      <c r="O69">
        <v>104015</v>
      </c>
      <c r="P69">
        <v>21316</v>
      </c>
      <c r="Q69">
        <v>1753</v>
      </c>
      <c r="R69">
        <v>11808</v>
      </c>
      <c r="S69">
        <v>43821</v>
      </c>
      <c r="T69">
        <v>164261</v>
      </c>
      <c r="U69">
        <v>52314</v>
      </c>
      <c r="V69">
        <v>93214</v>
      </c>
      <c r="W69">
        <v>3719</v>
      </c>
      <c r="X69">
        <v>2878</v>
      </c>
      <c r="Y69">
        <v>0.26100000000000001</v>
      </c>
      <c r="Z69">
        <v>0.34699999999999998</v>
      </c>
      <c r="AA69">
        <v>0.41199999999999998</v>
      </c>
      <c r="AB69">
        <v>0.75800000000000001</v>
      </c>
      <c r="AC69" s="9">
        <f t="shared" si="238"/>
        <v>0.50251999999999997</v>
      </c>
      <c r="AD69" s="6">
        <f t="shared" si="239"/>
        <v>4.3971499999999999</v>
      </c>
      <c r="AE69" s="12">
        <f t="shared" si="240"/>
        <v>0.306719999999995</v>
      </c>
      <c r="AF69" s="4">
        <f t="shared" si="241"/>
        <v>3.6228599999999211</v>
      </c>
      <c r="AG69" s="6">
        <f t="shared" si="242"/>
        <v>4.3696999999999999</v>
      </c>
      <c r="AH69">
        <f t="shared" si="243"/>
        <v>460434</v>
      </c>
      <c r="AI69" s="2">
        <f t="shared" si="244"/>
        <v>0.15015832888101227</v>
      </c>
      <c r="AJ69" s="9">
        <f t="shared" si="245"/>
        <v>4.6295451682542989E-2</v>
      </c>
      <c r="AK69" s="9">
        <f t="shared" si="246"/>
        <v>3.8072774816803275E-3</v>
      </c>
      <c r="AL69" s="9">
        <f t="shared" si="247"/>
        <v>2.5645369368899777E-2</v>
      </c>
      <c r="AM69" s="9">
        <f t="shared" si="248"/>
        <v>0.11361889000377905</v>
      </c>
      <c r="AN69" s="2">
        <f t="shared" si="249"/>
        <v>0.20244812502986312</v>
      </c>
      <c r="AO69" s="7">
        <f t="shared" si="250"/>
        <v>0.43802655755222242</v>
      </c>
      <c r="AP69" s="4">
        <f t="shared" si="28"/>
        <v>5.895937507369581</v>
      </c>
      <c r="AQ69" s="4">
        <f t="shared" si="29"/>
        <v>0.84240272726371512</v>
      </c>
      <c r="AR69" s="6">
        <f t="shared" si="251"/>
        <v>0.33030228002276113</v>
      </c>
      <c r="AS69" s="2">
        <f t="shared" si="252"/>
        <v>0.95493773387242165</v>
      </c>
      <c r="AT69" s="2">
        <f t="shared" si="253"/>
        <v>0.96204158400035122</v>
      </c>
      <c r="AU69" s="2">
        <f t="shared" si="254"/>
        <v>1.0022010291206902</v>
      </c>
      <c r="AV69" s="2">
        <f t="shared" si="255"/>
        <v>0.97503545357755417</v>
      </c>
      <c r="AW69" s="2">
        <f t="shared" si="256"/>
        <v>1.5403249123525098</v>
      </c>
      <c r="AX69" s="2">
        <f t="shared" si="257"/>
        <v>0.95639807805680843</v>
      </c>
      <c r="AY69" s="2">
        <f t="shared" si="258"/>
        <v>0.95411439051139479</v>
      </c>
    </row>
    <row r="70" spans="1:51" x14ac:dyDescent="0.5">
      <c r="A70" t="s">
        <v>120</v>
      </c>
      <c r="B70">
        <v>50</v>
      </c>
      <c r="C70">
        <v>50</v>
      </c>
      <c r="D70">
        <v>50</v>
      </c>
      <c r="E70">
        <v>50</v>
      </c>
      <c r="F70">
        <v>80</v>
      </c>
      <c r="G70">
        <v>50</v>
      </c>
      <c r="H70">
        <v>100000</v>
      </c>
      <c r="I70">
        <v>50735</v>
      </c>
      <c r="J70">
        <f t="shared" si="259"/>
        <v>49265</v>
      </c>
      <c r="K70">
        <v>443183</v>
      </c>
      <c r="L70">
        <v>435358</v>
      </c>
      <c r="M70">
        <v>393843</v>
      </c>
      <c r="N70">
        <v>57515</v>
      </c>
      <c r="O70">
        <v>102844</v>
      </c>
      <c r="P70">
        <v>21013</v>
      </c>
      <c r="Q70">
        <v>1659</v>
      </c>
      <c r="R70">
        <v>11634</v>
      </c>
      <c r="S70">
        <v>43292</v>
      </c>
      <c r="T70">
        <v>162077</v>
      </c>
      <c r="U70">
        <v>58282</v>
      </c>
      <c r="V70">
        <v>91814</v>
      </c>
      <c r="W70">
        <v>3817</v>
      </c>
      <c r="X70">
        <v>3000</v>
      </c>
      <c r="Y70">
        <v>0.26100000000000001</v>
      </c>
      <c r="Z70">
        <v>0.35699999999999998</v>
      </c>
      <c r="AA70">
        <v>0.41199999999999998</v>
      </c>
      <c r="AB70">
        <v>0.76800000000000002</v>
      </c>
      <c r="AC70" s="9">
        <f t="shared" si="238"/>
        <v>0.50734999999999997</v>
      </c>
      <c r="AD70" s="6">
        <f t="shared" si="239"/>
        <v>4.4318299999999997</v>
      </c>
      <c r="AE70" s="12">
        <f t="shared" si="240"/>
        <v>1.0891799999999952</v>
      </c>
      <c r="AF70" s="4">
        <f t="shared" si="241"/>
        <v>9.2410199999998923</v>
      </c>
      <c r="AG70" s="6">
        <f t="shared" si="242"/>
        <v>4.35358</v>
      </c>
      <c r="AH70">
        <f t="shared" si="243"/>
        <v>461168</v>
      </c>
      <c r="AI70" s="2">
        <f t="shared" si="244"/>
        <v>0.14861829094820109</v>
      </c>
      <c r="AJ70" s="9">
        <f t="shared" si="245"/>
        <v>4.5564739964611592E-2</v>
      </c>
      <c r="AK70" s="9">
        <f t="shared" si="246"/>
        <v>3.5973875030357702E-3</v>
      </c>
      <c r="AL70" s="9">
        <f t="shared" si="247"/>
        <v>2.5227249071921729E-2</v>
      </c>
      <c r="AM70" s="9">
        <f t="shared" si="248"/>
        <v>0.12637910696318913</v>
      </c>
      <c r="AN70" s="2">
        <f t="shared" si="249"/>
        <v>0.19909013634944314</v>
      </c>
      <c r="AO70" s="7">
        <f t="shared" si="250"/>
        <v>0.43152308919959748</v>
      </c>
      <c r="AP70" s="4">
        <f t="shared" si="28"/>
        <v>8.3578980690413118</v>
      </c>
      <c r="AQ70" s="4">
        <f t="shared" si="29"/>
        <v>1.0813638661903817</v>
      </c>
      <c r="AR70" s="6">
        <f t="shared" si="251"/>
        <v>0.33605475661797868</v>
      </c>
      <c r="AS70" s="2">
        <f t="shared" si="252"/>
        <v>0.94514380272923726</v>
      </c>
      <c r="AT70" s="2">
        <f t="shared" si="253"/>
        <v>0.94685704571380902</v>
      </c>
      <c r="AU70" s="2">
        <f t="shared" si="254"/>
        <v>0.94695106280963037</v>
      </c>
      <c r="AV70" s="2">
        <f t="shared" si="255"/>
        <v>0.95913854417649991</v>
      </c>
      <c r="AW70" s="2">
        <f t="shared" si="256"/>
        <v>1.7133144572155921</v>
      </c>
      <c r="AX70" s="2">
        <f t="shared" si="257"/>
        <v>0.94053438991637028</v>
      </c>
      <c r="AY70" s="2">
        <f t="shared" si="258"/>
        <v>0.93994846235820262</v>
      </c>
    </row>
    <row r="71" spans="1:51" x14ac:dyDescent="0.5">
      <c r="A71" t="s">
        <v>127</v>
      </c>
      <c r="B71">
        <v>20</v>
      </c>
      <c r="C71">
        <v>50</v>
      </c>
      <c r="D71">
        <v>50</v>
      </c>
      <c r="E71">
        <v>50</v>
      </c>
      <c r="F71">
        <v>20</v>
      </c>
      <c r="G71">
        <v>50</v>
      </c>
      <c r="H71">
        <v>100000</v>
      </c>
      <c r="I71">
        <v>47197</v>
      </c>
      <c r="J71">
        <f t="shared" si="259"/>
        <v>52803</v>
      </c>
      <c r="K71">
        <v>402929</v>
      </c>
      <c r="L71">
        <v>435126</v>
      </c>
      <c r="M71">
        <v>360109</v>
      </c>
      <c r="N71">
        <v>30043</v>
      </c>
      <c r="O71">
        <v>61867</v>
      </c>
      <c r="P71">
        <v>11412</v>
      </c>
      <c r="Q71">
        <v>892</v>
      </c>
      <c r="R71">
        <v>10430</v>
      </c>
      <c r="S71">
        <v>27433</v>
      </c>
      <c r="T71">
        <v>106353</v>
      </c>
      <c r="U71">
        <v>4551</v>
      </c>
      <c r="V71">
        <v>185305</v>
      </c>
      <c r="W71">
        <v>1600</v>
      </c>
      <c r="X71">
        <v>1230</v>
      </c>
      <c r="Y71">
        <v>0.17199999999999999</v>
      </c>
      <c r="Z71">
        <v>0.184</v>
      </c>
      <c r="AA71">
        <v>0.29499999999999998</v>
      </c>
      <c r="AB71" s="6">
        <v>0.48</v>
      </c>
      <c r="AC71" s="9">
        <f t="shared" ref="AC71:AC86" si="260">I71/H71</f>
        <v>0.47197</v>
      </c>
      <c r="AD71" s="6">
        <f t="shared" ref="AD71:AD86" si="261">K71/H71</f>
        <v>4.0292899999999996</v>
      </c>
      <c r="AE71" s="12">
        <f t="shared" ref="AE71:AE86" si="262">(AC71-$AC$7)*162</f>
        <v>-4.6423799999999993</v>
      </c>
      <c r="AF71" s="4">
        <f t="shared" ref="AF71:AF86" si="263">(AD71-$AD$7)*162</f>
        <v>-55.970460000000131</v>
      </c>
      <c r="AG71" s="6">
        <f t="shared" ref="AG71:AG86" si="264">L71/H71</f>
        <v>4.3512599999999999</v>
      </c>
      <c r="AH71">
        <f t="shared" ref="AH71:AH86" si="265">ROUND((M71+U71)*1.02,0)</f>
        <v>371953</v>
      </c>
      <c r="AI71" s="2">
        <f t="shared" ref="AI71:AI86" si="266">(O71-SUM(P71:R71))/$AH71</f>
        <v>0.10520952916094238</v>
      </c>
      <c r="AJ71" s="9">
        <f t="shared" ref="AJ71:AJ86" si="267">P71/$AH71</f>
        <v>3.0681295755108844E-2</v>
      </c>
      <c r="AK71" s="9">
        <f t="shared" ref="AK71:AK86" si="268">Q71/$AH71</f>
        <v>2.3981524547456263E-3</v>
      </c>
      <c r="AL71" s="9">
        <f t="shared" ref="AL71:AL86" si="269">R71/$AH71</f>
        <v>2.8041177245512201E-2</v>
      </c>
      <c r="AM71" s="9">
        <f t="shared" ref="AM71:AM86" si="270">U71/$AH71</f>
        <v>1.2235416840299716E-2</v>
      </c>
      <c r="AN71" s="2">
        <f t="shared" ref="AN71:AN86" si="271">V71/$AH71</f>
        <v>0.49819466437963938</v>
      </c>
      <c r="AO71" s="7">
        <f t="shared" ref="AO71:AO86" si="272">1-SUM(AI71:AN71)-0.02</f>
        <v>0.30323976416375187</v>
      </c>
      <c r="AP71" s="4">
        <f t="shared" si="28"/>
        <v>-60.374283191160885</v>
      </c>
      <c r="AQ71" s="4">
        <f t="shared" si="29"/>
        <v>-5.5898722902895166</v>
      </c>
      <c r="AR71" s="6">
        <f t="shared" ref="AR71:AR86" si="273">SUMPRODUCT($AI$1:$AN$1,AI71:AN71)</f>
        <v>0.19996429656435086</v>
      </c>
      <c r="AS71" s="2">
        <f t="shared" ref="AS71:AS86" si="274">AI71/AI$7</f>
        <v>0.66908409348606679</v>
      </c>
      <c r="AT71" s="2">
        <f t="shared" ref="AT71:AT86" si="275">AJ71/AJ$7</f>
        <v>0.6375719707808416</v>
      </c>
      <c r="AU71" s="2">
        <f t="shared" ref="AU71:AU86" si="276">AK71/AK$7</f>
        <v>0.63127283726996197</v>
      </c>
      <c r="AV71" s="2">
        <f t="shared" ref="AV71:AV86" si="277">AL71/AL$7</f>
        <v>1.0661239298656104</v>
      </c>
      <c r="AW71" s="2">
        <f t="shared" ref="AW71:AW86" si="278">AM71/AM$7</f>
        <v>0.16587485911457359</v>
      </c>
      <c r="AX71" s="2">
        <f t="shared" ref="AX71:AX86" si="279">AN71/AN$7</f>
        <v>2.3535531358492916</v>
      </c>
      <c r="AY71" s="2">
        <f t="shared" ref="AY71:AY86" si="280">AO71/AO$7</f>
        <v>0.66052027616938103</v>
      </c>
    </row>
    <row r="72" spans="1:51" x14ac:dyDescent="0.5">
      <c r="A72" t="s">
        <v>128</v>
      </c>
      <c r="B72">
        <v>20</v>
      </c>
      <c r="C72">
        <v>50</v>
      </c>
      <c r="D72">
        <v>50</v>
      </c>
      <c r="E72">
        <v>50</v>
      </c>
      <c r="F72">
        <v>35</v>
      </c>
      <c r="G72">
        <v>50</v>
      </c>
      <c r="H72">
        <v>100000</v>
      </c>
      <c r="I72">
        <v>47401</v>
      </c>
      <c r="J72">
        <f t="shared" si="259"/>
        <v>52599</v>
      </c>
      <c r="K72">
        <v>405621</v>
      </c>
      <c r="L72">
        <v>435819</v>
      </c>
      <c r="M72">
        <v>360495</v>
      </c>
      <c r="N72">
        <v>32867</v>
      </c>
      <c r="O72">
        <v>61583</v>
      </c>
      <c r="P72">
        <v>11567</v>
      </c>
      <c r="Q72">
        <v>846</v>
      </c>
      <c r="R72">
        <v>10539</v>
      </c>
      <c r="S72">
        <v>27644</v>
      </c>
      <c r="T72">
        <v>106459</v>
      </c>
      <c r="U72">
        <v>15730</v>
      </c>
      <c r="V72">
        <v>185753</v>
      </c>
      <c r="W72">
        <v>1957</v>
      </c>
      <c r="X72">
        <v>1511</v>
      </c>
      <c r="Y72">
        <v>0.17100000000000001</v>
      </c>
      <c r="Z72">
        <v>0.20799999999999999</v>
      </c>
      <c r="AA72">
        <v>0.29499999999999998</v>
      </c>
      <c r="AB72">
        <v>0.503</v>
      </c>
      <c r="AC72" s="9">
        <f t="shared" si="260"/>
        <v>0.47400999999999999</v>
      </c>
      <c r="AD72" s="6">
        <f t="shared" si="261"/>
        <v>4.0562100000000001</v>
      </c>
      <c r="AE72" s="12">
        <f t="shared" si="262"/>
        <v>-4.3119000000000014</v>
      </c>
      <c r="AF72" s="4">
        <f t="shared" si="263"/>
        <v>-51.609420000000043</v>
      </c>
      <c r="AG72" s="6">
        <f t="shared" si="264"/>
        <v>4.3581899999999996</v>
      </c>
      <c r="AH72">
        <f t="shared" si="265"/>
        <v>383750</v>
      </c>
      <c r="AI72" s="2">
        <f t="shared" si="266"/>
        <v>0.10066710097719869</v>
      </c>
      <c r="AJ72" s="9">
        <f t="shared" si="267"/>
        <v>3.0142019543973941E-2</v>
      </c>
      <c r="AK72" s="9">
        <f t="shared" si="268"/>
        <v>2.2045602605863194E-3</v>
      </c>
      <c r="AL72" s="9">
        <f t="shared" si="269"/>
        <v>2.7463192182410424E-2</v>
      </c>
      <c r="AM72" s="9">
        <f t="shared" si="270"/>
        <v>4.0990228013029317E-2</v>
      </c>
      <c r="AN72" s="2">
        <f t="shared" si="271"/>
        <v>0.48404690553745927</v>
      </c>
      <c r="AO72" s="7">
        <f t="shared" si="272"/>
        <v>0.29448599348534199</v>
      </c>
      <c r="AP72" s="4">
        <f t="shared" si="28"/>
        <v>-53.261328188855714</v>
      </c>
      <c r="AQ72" s="4">
        <f t="shared" si="29"/>
        <v>-4.8994794972665359</v>
      </c>
      <c r="AR72" s="6">
        <f t="shared" si="273"/>
        <v>0.21448179804560263</v>
      </c>
      <c r="AS72" s="2">
        <f t="shared" si="274"/>
        <v>0.6401963447452047</v>
      </c>
      <c r="AT72" s="2">
        <f t="shared" si="275"/>
        <v>0.62636555370273461</v>
      </c>
      <c r="AU72" s="2">
        <f t="shared" si="276"/>
        <v>0.58031298547303956</v>
      </c>
      <c r="AV72" s="2">
        <f t="shared" si="277"/>
        <v>1.0441489713436281</v>
      </c>
      <c r="AW72" s="2">
        <f t="shared" si="278"/>
        <v>0.55570221966944711</v>
      </c>
      <c r="AX72" s="2">
        <f t="shared" si="279"/>
        <v>2.2867168074640505</v>
      </c>
      <c r="AY72" s="2">
        <f t="shared" si="280"/>
        <v>0.64145271409693339</v>
      </c>
    </row>
    <row r="73" spans="1:51" x14ac:dyDescent="0.5">
      <c r="A73" t="s">
        <v>129</v>
      </c>
      <c r="B73">
        <v>20</v>
      </c>
      <c r="C73">
        <v>50</v>
      </c>
      <c r="D73">
        <v>50</v>
      </c>
      <c r="E73">
        <v>50</v>
      </c>
      <c r="F73">
        <v>65</v>
      </c>
      <c r="G73">
        <v>50</v>
      </c>
      <c r="H73">
        <v>100000</v>
      </c>
      <c r="I73">
        <v>47286</v>
      </c>
      <c r="J73">
        <f t="shared" si="259"/>
        <v>52714</v>
      </c>
      <c r="K73">
        <v>411085</v>
      </c>
      <c r="L73">
        <v>435151</v>
      </c>
      <c r="M73">
        <v>392635</v>
      </c>
      <c r="N73">
        <v>42005</v>
      </c>
      <c r="O73">
        <v>67015</v>
      </c>
      <c r="P73">
        <v>12391</v>
      </c>
      <c r="Q73">
        <v>946</v>
      </c>
      <c r="R73">
        <v>11221</v>
      </c>
      <c r="S73">
        <v>32650</v>
      </c>
      <c r="T73">
        <v>114961</v>
      </c>
      <c r="U73">
        <v>43571</v>
      </c>
      <c r="V73">
        <v>202603</v>
      </c>
      <c r="W73">
        <v>2673</v>
      </c>
      <c r="X73">
        <v>2074</v>
      </c>
      <c r="Y73">
        <v>0.17100000000000001</v>
      </c>
      <c r="Z73">
        <v>0.255</v>
      </c>
      <c r="AA73">
        <v>0.29299999999999998</v>
      </c>
      <c r="AB73">
        <v>0.54800000000000004</v>
      </c>
      <c r="AC73" s="9">
        <f t="shared" si="260"/>
        <v>0.47286</v>
      </c>
      <c r="AD73" s="6">
        <f t="shared" si="261"/>
        <v>4.1108500000000001</v>
      </c>
      <c r="AE73" s="12">
        <f t="shared" si="262"/>
        <v>-4.4981999999999989</v>
      </c>
      <c r="AF73" s="4">
        <f t="shared" si="263"/>
        <v>-42.757740000000041</v>
      </c>
      <c r="AG73" s="6">
        <f t="shared" si="264"/>
        <v>4.3515100000000002</v>
      </c>
      <c r="AH73">
        <f t="shared" si="265"/>
        <v>444930</v>
      </c>
      <c r="AI73" s="2">
        <f t="shared" si="266"/>
        <v>9.5423999280785737E-2</v>
      </c>
      <c r="AJ73" s="9">
        <f t="shared" si="267"/>
        <v>2.7849324612860452E-2</v>
      </c>
      <c r="AK73" s="9">
        <f t="shared" si="268"/>
        <v>2.1261771514620277E-3</v>
      </c>
      <c r="AL73" s="9">
        <f t="shared" si="269"/>
        <v>2.521969748050255E-2</v>
      </c>
      <c r="AM73" s="9">
        <f t="shared" si="270"/>
        <v>9.7927763917919672E-2</v>
      </c>
      <c r="AN73" s="2">
        <f t="shared" si="271"/>
        <v>0.45535926999752768</v>
      </c>
      <c r="AO73" s="7">
        <f t="shared" si="272"/>
        <v>0.27609376755894188</v>
      </c>
      <c r="AP73" s="4">
        <f t="shared" ref="AP73:AP102" si="281">$BA$3+SUMPRODUCT(AI73:AO73,$BB$3:$BH$3)</f>
        <v>-38.457495899732294</v>
      </c>
      <c r="AQ73" s="4">
        <f t="shared" ref="AQ73:AQ102" si="282">$BA$4+$BB$4*AP73</f>
        <v>-3.4626000121271714</v>
      </c>
      <c r="AR73" s="6">
        <f t="shared" si="273"/>
        <v>0.24341799833681702</v>
      </c>
      <c r="AS73" s="2">
        <f t="shared" si="274"/>
        <v>0.60685263554341462</v>
      </c>
      <c r="AT73" s="2">
        <f t="shared" si="275"/>
        <v>0.57872225867058547</v>
      </c>
      <c r="AU73" s="2">
        <f t="shared" si="276"/>
        <v>0.55967996541919929</v>
      </c>
      <c r="AV73" s="2">
        <f t="shared" si="277"/>
        <v>0.95885143310944077</v>
      </c>
      <c r="AW73" s="2">
        <f t="shared" si="278"/>
        <v>1.3276011970256867</v>
      </c>
      <c r="AX73" s="2">
        <f t="shared" si="279"/>
        <v>2.151191721764504</v>
      </c>
      <c r="AY73" s="2">
        <f t="shared" si="280"/>
        <v>0.60139056003947544</v>
      </c>
    </row>
    <row r="74" spans="1:51" x14ac:dyDescent="0.5">
      <c r="A74" t="s">
        <v>130</v>
      </c>
      <c r="B74">
        <v>20</v>
      </c>
      <c r="C74">
        <v>50</v>
      </c>
      <c r="D74">
        <v>50</v>
      </c>
      <c r="E74">
        <v>50</v>
      </c>
      <c r="F74">
        <v>80</v>
      </c>
      <c r="G74">
        <v>50</v>
      </c>
      <c r="H74">
        <v>100000</v>
      </c>
      <c r="I74">
        <v>47623</v>
      </c>
      <c r="J74">
        <f t="shared" si="259"/>
        <v>52377</v>
      </c>
      <c r="K74">
        <v>414223</v>
      </c>
      <c r="L74">
        <v>435725</v>
      </c>
      <c r="M74">
        <v>381820</v>
      </c>
      <c r="N74">
        <v>44082</v>
      </c>
      <c r="O74">
        <v>65317</v>
      </c>
      <c r="P74">
        <v>11983</v>
      </c>
      <c r="Q74">
        <v>907</v>
      </c>
      <c r="R74">
        <v>10962</v>
      </c>
      <c r="S74">
        <v>32011</v>
      </c>
      <c r="T74">
        <v>112000</v>
      </c>
      <c r="U74">
        <v>55846</v>
      </c>
      <c r="V74">
        <v>196731</v>
      </c>
      <c r="W74">
        <v>2942</v>
      </c>
      <c r="X74">
        <v>2322</v>
      </c>
      <c r="Y74">
        <v>0.17100000000000001</v>
      </c>
      <c r="Z74">
        <v>0.27800000000000002</v>
      </c>
      <c r="AA74">
        <v>0.29299999999999998</v>
      </c>
      <c r="AB74">
        <v>0.57199999999999995</v>
      </c>
      <c r="AC74" s="9">
        <f t="shared" si="260"/>
        <v>0.47622999999999999</v>
      </c>
      <c r="AD74" s="6">
        <f t="shared" si="261"/>
        <v>4.1422299999999996</v>
      </c>
      <c r="AE74" s="12">
        <f t="shared" si="262"/>
        <v>-3.9522600000000017</v>
      </c>
      <c r="AF74" s="4">
        <f t="shared" si="263"/>
        <v>-37.674180000000121</v>
      </c>
      <c r="AG74" s="6">
        <f t="shared" si="264"/>
        <v>4.3572499999999996</v>
      </c>
      <c r="AH74">
        <f t="shared" si="265"/>
        <v>446419</v>
      </c>
      <c r="AI74" s="2">
        <f t="shared" si="266"/>
        <v>9.2883591424200135E-2</v>
      </c>
      <c r="AJ74" s="9">
        <f t="shared" si="267"/>
        <v>2.6842495503103588E-2</v>
      </c>
      <c r="AK74" s="9">
        <f t="shared" si="268"/>
        <v>2.0317235601531296E-3</v>
      </c>
      <c r="AL74" s="9">
        <f t="shared" si="269"/>
        <v>2.4555406467914671E-2</v>
      </c>
      <c r="AM74" s="9">
        <f t="shared" si="270"/>
        <v>0.12509772209516173</v>
      </c>
      <c r="AN74" s="2">
        <f t="shared" si="271"/>
        <v>0.44068688832688574</v>
      </c>
      <c r="AO74" s="7">
        <f t="shared" si="272"/>
        <v>0.26790217262258098</v>
      </c>
      <c r="AP74" s="4">
        <f t="shared" si="281"/>
        <v>-31.079047222736335</v>
      </c>
      <c r="AQ74" s="4">
        <f t="shared" si="282"/>
        <v>-2.7464380529081009</v>
      </c>
      <c r="AR74" s="6">
        <f t="shared" si="273"/>
        <v>0.25800281798041746</v>
      </c>
      <c r="AS74" s="2">
        <f t="shared" si="274"/>
        <v>0.5906968129543001</v>
      </c>
      <c r="AT74" s="2">
        <f t="shared" si="275"/>
        <v>0.55779986918381441</v>
      </c>
      <c r="AU74" s="2">
        <f t="shared" si="276"/>
        <v>0.53481666431508745</v>
      </c>
      <c r="AV74" s="2">
        <f t="shared" si="277"/>
        <v>0.93359512740180706</v>
      </c>
      <c r="AW74" s="2">
        <f t="shared" si="278"/>
        <v>1.6959427945064378</v>
      </c>
      <c r="AX74" s="2">
        <f t="shared" si="279"/>
        <v>2.0818769892706963</v>
      </c>
      <c r="AY74" s="2">
        <f t="shared" si="280"/>
        <v>0.58354753551215455</v>
      </c>
    </row>
    <row r="75" spans="1:51" x14ac:dyDescent="0.5">
      <c r="A75" t="s">
        <v>131</v>
      </c>
      <c r="B75">
        <v>35</v>
      </c>
      <c r="C75">
        <v>50</v>
      </c>
      <c r="D75">
        <v>50</v>
      </c>
      <c r="E75">
        <v>50</v>
      </c>
      <c r="F75">
        <v>20</v>
      </c>
      <c r="G75">
        <v>50</v>
      </c>
      <c r="H75">
        <v>100000</v>
      </c>
      <c r="I75">
        <v>47932</v>
      </c>
      <c r="J75">
        <f t="shared" si="259"/>
        <v>52068</v>
      </c>
      <c r="K75">
        <v>415086</v>
      </c>
      <c r="L75">
        <v>434946</v>
      </c>
      <c r="M75">
        <v>429361</v>
      </c>
      <c r="N75">
        <v>42963</v>
      </c>
      <c r="O75">
        <v>97762</v>
      </c>
      <c r="P75">
        <v>18987</v>
      </c>
      <c r="Q75">
        <v>1501</v>
      </c>
      <c r="R75">
        <v>12598</v>
      </c>
      <c r="S75">
        <v>41866</v>
      </c>
      <c r="T75">
        <v>157545</v>
      </c>
      <c r="U75">
        <v>5441</v>
      </c>
      <c r="V75">
        <v>142969</v>
      </c>
      <c r="W75">
        <v>2440</v>
      </c>
      <c r="X75">
        <v>1920</v>
      </c>
      <c r="Y75">
        <v>0.22800000000000001</v>
      </c>
      <c r="Z75">
        <v>0.23899999999999999</v>
      </c>
      <c r="AA75">
        <v>0.36699999999999999</v>
      </c>
      <c r="AB75">
        <v>0.60599999999999998</v>
      </c>
      <c r="AC75" s="9">
        <f t="shared" si="260"/>
        <v>0.47932000000000002</v>
      </c>
      <c r="AD75" s="6">
        <f t="shared" si="261"/>
        <v>4.1508599999999998</v>
      </c>
      <c r="AE75" s="12">
        <f t="shared" si="262"/>
        <v>-3.4516799999999956</v>
      </c>
      <c r="AF75" s="4">
        <f t="shared" si="263"/>
        <v>-36.276120000000098</v>
      </c>
      <c r="AG75" s="6">
        <f t="shared" si="264"/>
        <v>4.3494599999999997</v>
      </c>
      <c r="AH75">
        <f t="shared" si="265"/>
        <v>443498</v>
      </c>
      <c r="AI75" s="2">
        <f t="shared" si="266"/>
        <v>0.14583154828206665</v>
      </c>
      <c r="AJ75" s="9">
        <f t="shared" si="267"/>
        <v>4.2811917979336998E-2</v>
      </c>
      <c r="AK75" s="9">
        <f t="shared" si="268"/>
        <v>3.3844572016108305E-3</v>
      </c>
      <c r="AL75" s="9">
        <f t="shared" si="269"/>
        <v>2.84059905568909E-2</v>
      </c>
      <c r="AM75" s="9">
        <f t="shared" si="270"/>
        <v>1.2268375505639259E-2</v>
      </c>
      <c r="AN75" s="2">
        <f t="shared" si="271"/>
        <v>0.32236672995143156</v>
      </c>
      <c r="AO75" s="7">
        <f t="shared" si="272"/>
        <v>0.4249309805230238</v>
      </c>
      <c r="AP75" s="4">
        <f t="shared" si="281"/>
        <v>-32.915732296149599</v>
      </c>
      <c r="AQ75" s="4">
        <f t="shared" si="282"/>
        <v>-2.9247091283368722</v>
      </c>
      <c r="AR75" s="6">
        <f t="shared" si="273"/>
        <v>0.25383983693274831</v>
      </c>
      <c r="AS75" s="2">
        <f t="shared" si="274"/>
        <v>0.92742140433605347</v>
      </c>
      <c r="AT75" s="2">
        <f t="shared" si="275"/>
        <v>0.88965209086544339</v>
      </c>
      <c r="AU75" s="2">
        <f t="shared" si="276"/>
        <v>0.89090078324742972</v>
      </c>
      <c r="AV75" s="2">
        <f t="shared" si="277"/>
        <v>1.0799941107709643</v>
      </c>
      <c r="AW75" s="2">
        <f t="shared" si="278"/>
        <v>0.16632167789003161</v>
      </c>
      <c r="AX75" s="2">
        <f t="shared" si="279"/>
        <v>1.5229131952174335</v>
      </c>
      <c r="AY75" s="2">
        <f t="shared" si="280"/>
        <v>0.92558945685113558</v>
      </c>
    </row>
    <row r="76" spans="1:51" x14ac:dyDescent="0.5">
      <c r="A76" t="s">
        <v>132</v>
      </c>
      <c r="B76">
        <v>35</v>
      </c>
      <c r="C76">
        <v>50</v>
      </c>
      <c r="D76">
        <v>50</v>
      </c>
      <c r="E76">
        <v>50</v>
      </c>
      <c r="F76">
        <v>35</v>
      </c>
      <c r="G76">
        <v>50</v>
      </c>
      <c r="H76">
        <v>100000</v>
      </c>
      <c r="I76">
        <v>48047</v>
      </c>
      <c r="J76">
        <f t="shared" si="259"/>
        <v>51953</v>
      </c>
      <c r="K76">
        <v>418305</v>
      </c>
      <c r="L76">
        <v>436428</v>
      </c>
      <c r="M76">
        <v>419410</v>
      </c>
      <c r="N76">
        <v>45168</v>
      </c>
      <c r="O76">
        <v>95641</v>
      </c>
      <c r="P76">
        <v>18968</v>
      </c>
      <c r="Q76">
        <v>1473</v>
      </c>
      <c r="R76">
        <v>12332</v>
      </c>
      <c r="S76">
        <v>40990</v>
      </c>
      <c r="T76">
        <v>154551</v>
      </c>
      <c r="U76">
        <v>18259</v>
      </c>
      <c r="V76">
        <v>139949</v>
      </c>
      <c r="W76">
        <v>2615</v>
      </c>
      <c r="X76">
        <v>2147</v>
      </c>
      <c r="Y76">
        <v>0.22800000000000001</v>
      </c>
      <c r="Z76">
        <v>0.26200000000000001</v>
      </c>
      <c r="AA76">
        <v>0.36799999999999999</v>
      </c>
      <c r="AB76" s="6">
        <v>0.63</v>
      </c>
      <c r="AC76" s="9">
        <f t="shared" si="260"/>
        <v>0.48047000000000001</v>
      </c>
      <c r="AD76" s="6">
        <f t="shared" si="261"/>
        <v>4.1830499999999997</v>
      </c>
      <c r="AE76" s="12">
        <f t="shared" si="262"/>
        <v>-3.2653799999999982</v>
      </c>
      <c r="AF76" s="4">
        <f t="shared" si="263"/>
        <v>-31.061340000000108</v>
      </c>
      <c r="AG76" s="6">
        <f t="shared" si="264"/>
        <v>4.3642799999999999</v>
      </c>
      <c r="AH76">
        <f t="shared" si="265"/>
        <v>446422</v>
      </c>
      <c r="AI76" s="2">
        <f t="shared" si="266"/>
        <v>0.14082639296450444</v>
      </c>
      <c r="AJ76" s="9">
        <f t="shared" si="267"/>
        <v>4.248894543727684E-2</v>
      </c>
      <c r="AK76" s="9">
        <f t="shared" si="268"/>
        <v>3.2995685696493452E-3</v>
      </c>
      <c r="AL76" s="9">
        <f t="shared" si="269"/>
        <v>2.7624086626555144E-2</v>
      </c>
      <c r="AM76" s="9">
        <f t="shared" si="270"/>
        <v>4.0900762059217513E-2</v>
      </c>
      <c r="AN76" s="2">
        <f t="shared" si="271"/>
        <v>0.3134903745783138</v>
      </c>
      <c r="AO76" s="7">
        <f t="shared" si="272"/>
        <v>0.41136986976448298</v>
      </c>
      <c r="AP76" s="4">
        <f t="shared" si="281"/>
        <v>-26.059362283131577</v>
      </c>
      <c r="AQ76" s="4">
        <f t="shared" si="282"/>
        <v>-2.2592208127560114</v>
      </c>
      <c r="AR76" s="6">
        <f t="shared" si="273"/>
        <v>0.26789289058334942</v>
      </c>
      <c r="AS76" s="2">
        <f t="shared" si="274"/>
        <v>0.89559092438698717</v>
      </c>
      <c r="AT76" s="2">
        <f t="shared" si="275"/>
        <v>0.88294056727814174</v>
      </c>
      <c r="AU76" s="2">
        <f t="shared" si="276"/>
        <v>0.86855529497613615</v>
      </c>
      <c r="AV76" s="2">
        <f t="shared" si="277"/>
        <v>1.0502661687630968</v>
      </c>
      <c r="AW76" s="2">
        <f t="shared" si="278"/>
        <v>0.55448933475691964</v>
      </c>
      <c r="AX76" s="2">
        <f t="shared" si="279"/>
        <v>1.4809798396096856</v>
      </c>
      <c r="AY76" s="2">
        <f t="shared" si="280"/>
        <v>0.89605049236837109</v>
      </c>
    </row>
    <row r="77" spans="1:51" x14ac:dyDescent="0.5">
      <c r="A77" t="s">
        <v>133</v>
      </c>
      <c r="B77">
        <v>35</v>
      </c>
      <c r="C77">
        <v>50</v>
      </c>
      <c r="D77">
        <v>50</v>
      </c>
      <c r="E77">
        <v>50</v>
      </c>
      <c r="F77">
        <v>65</v>
      </c>
      <c r="G77">
        <v>50</v>
      </c>
      <c r="H77">
        <v>100000</v>
      </c>
      <c r="I77">
        <v>49042</v>
      </c>
      <c r="J77">
        <f t="shared" si="259"/>
        <v>50958</v>
      </c>
      <c r="K77">
        <v>427408</v>
      </c>
      <c r="L77">
        <v>435441</v>
      </c>
      <c r="M77">
        <v>398209</v>
      </c>
      <c r="N77">
        <v>49767</v>
      </c>
      <c r="O77">
        <v>90659</v>
      </c>
      <c r="P77">
        <v>17895</v>
      </c>
      <c r="Q77">
        <v>1414</v>
      </c>
      <c r="R77">
        <v>11709</v>
      </c>
      <c r="S77">
        <v>39781</v>
      </c>
      <c r="T77">
        <v>146509</v>
      </c>
      <c r="U77">
        <v>44203</v>
      </c>
      <c r="V77">
        <v>133404</v>
      </c>
      <c r="W77">
        <v>3120</v>
      </c>
      <c r="X77">
        <v>2535</v>
      </c>
      <c r="Y77">
        <v>0.22800000000000001</v>
      </c>
      <c r="Z77">
        <v>0.30599999999999999</v>
      </c>
      <c r="AA77">
        <v>0.36799999999999999</v>
      </c>
      <c r="AB77">
        <v>0.67400000000000004</v>
      </c>
      <c r="AC77" s="9">
        <f t="shared" si="260"/>
        <v>0.49042000000000002</v>
      </c>
      <c r="AD77" s="6">
        <f t="shared" si="261"/>
        <v>4.2740799999999997</v>
      </c>
      <c r="AE77" s="12">
        <f t="shared" si="262"/>
        <v>-1.6534799999999961</v>
      </c>
      <c r="AF77" s="4">
        <f t="shared" si="263"/>
        <v>-16.314480000000117</v>
      </c>
      <c r="AG77" s="6">
        <f t="shared" si="264"/>
        <v>4.3544099999999997</v>
      </c>
      <c r="AH77">
        <f t="shared" si="265"/>
        <v>451260</v>
      </c>
      <c r="AI77" s="2">
        <f t="shared" si="266"/>
        <v>0.13216549217745868</v>
      </c>
      <c r="AJ77" s="9">
        <f t="shared" si="267"/>
        <v>3.965563090014626E-2</v>
      </c>
      <c r="AK77" s="9">
        <f t="shared" si="268"/>
        <v>3.1334485662367594E-3</v>
      </c>
      <c r="AL77" s="9">
        <f t="shared" si="269"/>
        <v>2.594734742720383E-2</v>
      </c>
      <c r="AM77" s="9">
        <f t="shared" si="270"/>
        <v>9.7954615964189154E-2</v>
      </c>
      <c r="AN77" s="2">
        <f t="shared" si="271"/>
        <v>0.29562558170456055</v>
      </c>
      <c r="AO77" s="7">
        <f t="shared" si="272"/>
        <v>0.38551788326020475</v>
      </c>
      <c r="AP77" s="4">
        <f t="shared" si="281"/>
        <v>-12.584537104995434</v>
      </c>
      <c r="AQ77" s="4">
        <f t="shared" si="282"/>
        <v>-0.95133651049135382</v>
      </c>
      <c r="AR77" s="6">
        <f t="shared" si="273"/>
        <v>0.29413475601648714</v>
      </c>
      <c r="AS77" s="2">
        <f t="shared" si="274"/>
        <v>0.84051158891150313</v>
      </c>
      <c r="AT77" s="2">
        <f t="shared" si="275"/>
        <v>0.82406293878099601</v>
      </c>
      <c r="AU77" s="2">
        <f t="shared" si="276"/>
        <v>0.82482703004700675</v>
      </c>
      <c r="AV77" s="2">
        <f t="shared" si="277"/>
        <v>0.9865166418113267</v>
      </c>
      <c r="AW77" s="2">
        <f t="shared" si="278"/>
        <v>1.3279652287092838</v>
      </c>
      <c r="AX77" s="2">
        <f t="shared" si="279"/>
        <v>1.3965836340789095</v>
      </c>
      <c r="AY77" s="2">
        <f t="shared" si="280"/>
        <v>0.83973940364152477</v>
      </c>
    </row>
    <row r="78" spans="1:51" x14ac:dyDescent="0.5">
      <c r="A78" t="s">
        <v>134</v>
      </c>
      <c r="B78">
        <v>35</v>
      </c>
      <c r="C78">
        <v>50</v>
      </c>
      <c r="D78">
        <v>50</v>
      </c>
      <c r="E78">
        <v>50</v>
      </c>
      <c r="F78">
        <v>80</v>
      </c>
      <c r="G78">
        <v>50</v>
      </c>
      <c r="H78">
        <v>100000</v>
      </c>
      <c r="I78">
        <v>49927</v>
      </c>
      <c r="J78">
        <f t="shared" si="259"/>
        <v>50073</v>
      </c>
      <c r="K78">
        <v>433818</v>
      </c>
      <c r="L78">
        <v>434932</v>
      </c>
      <c r="M78">
        <v>389162</v>
      </c>
      <c r="N78">
        <v>52248</v>
      </c>
      <c r="O78">
        <v>88890</v>
      </c>
      <c r="P78">
        <v>17566</v>
      </c>
      <c r="Q78">
        <v>1398</v>
      </c>
      <c r="R78">
        <v>11348</v>
      </c>
      <c r="S78">
        <v>39307</v>
      </c>
      <c r="T78">
        <v>143296</v>
      </c>
      <c r="U78">
        <v>57204</v>
      </c>
      <c r="V78">
        <v>130542</v>
      </c>
      <c r="W78">
        <v>3386</v>
      </c>
      <c r="X78">
        <v>2789</v>
      </c>
      <c r="Y78">
        <v>0.22800000000000001</v>
      </c>
      <c r="Z78">
        <v>0.32800000000000001</v>
      </c>
      <c r="AA78">
        <v>0.36799999999999999</v>
      </c>
      <c r="AB78">
        <v>0.69599999999999995</v>
      </c>
      <c r="AC78" s="9">
        <f t="shared" si="260"/>
        <v>0.49926999999999999</v>
      </c>
      <c r="AD78" s="6">
        <f t="shared" si="261"/>
        <v>4.3381800000000004</v>
      </c>
      <c r="AE78" s="12">
        <f t="shared" si="262"/>
        <v>-0.21978000000000097</v>
      </c>
      <c r="AF78" s="4">
        <f t="shared" si="263"/>
        <v>-5.9302800000000016</v>
      </c>
      <c r="AG78" s="6">
        <f t="shared" si="264"/>
        <v>4.3493199999999996</v>
      </c>
      <c r="AH78">
        <f t="shared" si="265"/>
        <v>455293</v>
      </c>
      <c r="AI78" s="2">
        <f t="shared" si="266"/>
        <v>0.12866000575453609</v>
      </c>
      <c r="AJ78" s="9">
        <f t="shared" si="267"/>
        <v>3.8581748456488457E-2</v>
      </c>
      <c r="AK78" s="9">
        <f t="shared" si="268"/>
        <v>3.0705501731851798E-3</v>
      </c>
      <c r="AL78" s="9">
        <f t="shared" si="269"/>
        <v>2.492460898805824E-2</v>
      </c>
      <c r="AM78" s="9">
        <f t="shared" si="270"/>
        <v>0.12564216888904509</v>
      </c>
      <c r="AN78" s="2">
        <f t="shared" si="271"/>
        <v>0.28672085887549337</v>
      </c>
      <c r="AO78" s="7">
        <f t="shared" si="272"/>
        <v>0.37240005886319349</v>
      </c>
      <c r="AP78" s="4">
        <f t="shared" si="281"/>
        <v>-5.9251869773993349</v>
      </c>
      <c r="AQ78" s="4">
        <f t="shared" si="282"/>
        <v>-0.30497120481754653</v>
      </c>
      <c r="AR78" s="6">
        <f t="shared" si="273"/>
        <v>0.3074907806621231</v>
      </c>
      <c r="AS78" s="2">
        <f t="shared" si="274"/>
        <v>0.81821831163696135</v>
      </c>
      <c r="AT78" s="2">
        <f t="shared" si="275"/>
        <v>0.80174714900944299</v>
      </c>
      <c r="AU78" s="2">
        <f t="shared" si="276"/>
        <v>0.80827009807930839</v>
      </c>
      <c r="AV78" s="2">
        <f t="shared" si="277"/>
        <v>0.94763218576941699</v>
      </c>
      <c r="AW78" s="2">
        <f t="shared" si="278"/>
        <v>1.7033238291217301</v>
      </c>
      <c r="AX78" s="2">
        <f t="shared" si="279"/>
        <v>1.3545162659662526</v>
      </c>
      <c r="AY78" s="2">
        <f t="shared" si="280"/>
        <v>0.81116601051364867</v>
      </c>
    </row>
    <row r="79" spans="1:51" x14ac:dyDescent="0.5">
      <c r="A79" t="s">
        <v>135</v>
      </c>
      <c r="B79">
        <v>65</v>
      </c>
      <c r="C79">
        <v>50</v>
      </c>
      <c r="D79">
        <v>50</v>
      </c>
      <c r="E79">
        <v>50</v>
      </c>
      <c r="F79">
        <v>20</v>
      </c>
      <c r="G79">
        <v>50</v>
      </c>
      <c r="H79">
        <v>100000</v>
      </c>
      <c r="I79">
        <v>49807</v>
      </c>
      <c r="J79">
        <f t="shared" si="259"/>
        <v>50193</v>
      </c>
      <c r="K79">
        <v>432690</v>
      </c>
      <c r="L79">
        <v>434867</v>
      </c>
      <c r="M79">
        <v>442354</v>
      </c>
      <c r="N79">
        <v>50992</v>
      </c>
      <c r="O79">
        <v>124719</v>
      </c>
      <c r="P79">
        <v>25666</v>
      </c>
      <c r="Q79">
        <v>1998</v>
      </c>
      <c r="R79">
        <v>12835</v>
      </c>
      <c r="S79">
        <v>49492</v>
      </c>
      <c r="T79">
        <v>192886</v>
      </c>
      <c r="U79">
        <v>5599</v>
      </c>
      <c r="V79">
        <v>72821</v>
      </c>
      <c r="W79">
        <v>2936</v>
      </c>
      <c r="X79">
        <v>2430</v>
      </c>
      <c r="Y79">
        <v>0.28199999999999997</v>
      </c>
      <c r="Z79">
        <v>0.29199999999999998</v>
      </c>
      <c r="AA79">
        <v>0.436</v>
      </c>
      <c r="AB79">
        <v>0.72799999999999998</v>
      </c>
      <c r="AC79" s="9">
        <f t="shared" si="260"/>
        <v>0.49807000000000001</v>
      </c>
      <c r="AD79" s="6">
        <f t="shared" si="261"/>
        <v>4.3269000000000002</v>
      </c>
      <c r="AE79" s="12">
        <f t="shared" si="262"/>
        <v>-0.41417999999999755</v>
      </c>
      <c r="AF79" s="4">
        <f t="shared" si="263"/>
        <v>-7.7576400000000305</v>
      </c>
      <c r="AG79" s="6">
        <f t="shared" si="264"/>
        <v>4.3486700000000003</v>
      </c>
      <c r="AH79">
        <f t="shared" si="265"/>
        <v>456912</v>
      </c>
      <c r="AI79" s="2">
        <f t="shared" si="266"/>
        <v>0.18432433378856322</v>
      </c>
      <c r="AJ79" s="9">
        <f t="shared" si="267"/>
        <v>5.6172742234828592E-2</v>
      </c>
      <c r="AK79" s="9">
        <f t="shared" si="268"/>
        <v>4.3728332808068071E-3</v>
      </c>
      <c r="AL79" s="9">
        <f t="shared" si="269"/>
        <v>2.8090748327905594E-2</v>
      </c>
      <c r="AM79" s="9">
        <f t="shared" si="270"/>
        <v>1.2254000770389047E-2</v>
      </c>
      <c r="AN79" s="2">
        <f t="shared" si="271"/>
        <v>0.15937642259340967</v>
      </c>
      <c r="AO79" s="7">
        <f t="shared" si="272"/>
        <v>0.53540891900409693</v>
      </c>
      <c r="AP79" s="4">
        <f t="shared" si="281"/>
        <v>-7.2310695353648953</v>
      </c>
      <c r="AQ79" s="4">
        <f t="shared" si="282"/>
        <v>-0.43172188807951811</v>
      </c>
      <c r="AR79" s="6">
        <f t="shared" si="273"/>
        <v>0.30596756049304902</v>
      </c>
      <c r="AS79" s="2">
        <f t="shared" si="274"/>
        <v>1.1722177711838677</v>
      </c>
      <c r="AT79" s="2">
        <f t="shared" si="275"/>
        <v>1.1672963963674954</v>
      </c>
      <c r="AU79" s="2">
        <f t="shared" si="276"/>
        <v>1.1510739722242691</v>
      </c>
      <c r="AV79" s="2">
        <f t="shared" si="277"/>
        <v>1.0680086195384519</v>
      </c>
      <c r="AW79" s="2">
        <f t="shared" si="278"/>
        <v>0.16612680041135144</v>
      </c>
      <c r="AX79" s="2">
        <f t="shared" si="279"/>
        <v>0.75292030604591753</v>
      </c>
      <c r="AY79" s="2">
        <f t="shared" si="280"/>
        <v>1.1662337491238877</v>
      </c>
    </row>
    <row r="80" spans="1:51" x14ac:dyDescent="0.5">
      <c r="A80" t="s">
        <v>136</v>
      </c>
      <c r="B80">
        <v>65</v>
      </c>
      <c r="C80">
        <v>50</v>
      </c>
      <c r="D80">
        <v>50</v>
      </c>
      <c r="E80">
        <v>50</v>
      </c>
      <c r="F80">
        <v>35</v>
      </c>
      <c r="G80">
        <v>50</v>
      </c>
      <c r="H80">
        <v>100000</v>
      </c>
      <c r="I80">
        <v>50056</v>
      </c>
      <c r="J80">
        <f t="shared" si="259"/>
        <v>49944</v>
      </c>
      <c r="K80">
        <v>436188</v>
      </c>
      <c r="L80">
        <v>436767</v>
      </c>
      <c r="M80">
        <v>431519</v>
      </c>
      <c r="N80">
        <v>53361</v>
      </c>
      <c r="O80">
        <v>121417</v>
      </c>
      <c r="P80">
        <v>24956</v>
      </c>
      <c r="Q80">
        <v>2039</v>
      </c>
      <c r="R80">
        <v>12683</v>
      </c>
      <c r="S80">
        <v>49037</v>
      </c>
      <c r="T80">
        <v>188500</v>
      </c>
      <c r="U80">
        <v>18557</v>
      </c>
      <c r="V80">
        <v>70838</v>
      </c>
      <c r="W80">
        <v>3231</v>
      </c>
      <c r="X80">
        <v>2647</v>
      </c>
      <c r="Y80">
        <v>0.28100000000000003</v>
      </c>
      <c r="Z80">
        <v>0.312</v>
      </c>
      <c r="AA80">
        <v>0.437</v>
      </c>
      <c r="AB80">
        <v>0.748</v>
      </c>
      <c r="AC80" s="9">
        <f t="shared" si="260"/>
        <v>0.50056</v>
      </c>
      <c r="AD80" s="6">
        <f t="shared" si="261"/>
        <v>4.3618800000000002</v>
      </c>
      <c r="AE80" s="12">
        <f t="shared" si="262"/>
        <v>-1.0799999999998811E-2</v>
      </c>
      <c r="AF80" s="4">
        <f t="shared" si="263"/>
        <v>-2.0908800000000287</v>
      </c>
      <c r="AG80" s="6">
        <f t="shared" si="264"/>
        <v>4.3676700000000004</v>
      </c>
      <c r="AH80">
        <f t="shared" si="265"/>
        <v>459078</v>
      </c>
      <c r="AI80" s="2">
        <f t="shared" si="266"/>
        <v>0.17805035309903763</v>
      </c>
      <c r="AJ80" s="9">
        <f t="shared" si="267"/>
        <v>5.4361132530855324E-2</v>
      </c>
      <c r="AK80" s="9">
        <f t="shared" si="268"/>
        <v>4.4415110286269432E-3</v>
      </c>
      <c r="AL80" s="9">
        <f t="shared" si="269"/>
        <v>2.7627113475269999E-2</v>
      </c>
      <c r="AM80" s="9">
        <f t="shared" si="270"/>
        <v>4.0422324746557228E-2</v>
      </c>
      <c r="AN80" s="2">
        <f t="shared" si="271"/>
        <v>0.15430493293078737</v>
      </c>
      <c r="AO80" s="7">
        <f t="shared" si="272"/>
        <v>0.52079263218886551</v>
      </c>
      <c r="AP80" s="4">
        <f t="shared" si="281"/>
        <v>-0.56460637908958233</v>
      </c>
      <c r="AQ80" s="4">
        <f t="shared" si="282"/>
        <v>0.2153338175384901</v>
      </c>
      <c r="AR80" s="6">
        <f t="shared" si="273"/>
        <v>0.31755882442635019</v>
      </c>
      <c r="AS80" s="2">
        <f t="shared" si="274"/>
        <v>1.1323181469228489</v>
      </c>
      <c r="AT80" s="2">
        <f t="shared" si="275"/>
        <v>1.1296502819899561</v>
      </c>
      <c r="AU80" s="2">
        <f t="shared" si="276"/>
        <v>1.1691522210186422</v>
      </c>
      <c r="AV80" s="2">
        <f t="shared" si="277"/>
        <v>1.0503812493753955</v>
      </c>
      <c r="AW80" s="2">
        <f t="shared" si="278"/>
        <v>0.54800318697229411</v>
      </c>
      <c r="AX80" s="2">
        <f t="shared" si="279"/>
        <v>0.72896175881066172</v>
      </c>
      <c r="AY80" s="2">
        <f t="shared" si="280"/>
        <v>1.1343963882474488</v>
      </c>
    </row>
    <row r="81" spans="1:51" x14ac:dyDescent="0.5">
      <c r="A81" t="s">
        <v>137</v>
      </c>
      <c r="B81">
        <v>65</v>
      </c>
      <c r="C81">
        <v>50</v>
      </c>
      <c r="D81">
        <v>50</v>
      </c>
      <c r="E81">
        <v>50</v>
      </c>
      <c r="F81">
        <v>65</v>
      </c>
      <c r="G81">
        <v>50</v>
      </c>
      <c r="H81">
        <v>100000</v>
      </c>
      <c r="I81">
        <v>51039</v>
      </c>
      <c r="J81">
        <f t="shared" si="259"/>
        <v>48961</v>
      </c>
      <c r="K81">
        <v>444672</v>
      </c>
      <c r="L81">
        <v>434374</v>
      </c>
      <c r="M81">
        <v>407963</v>
      </c>
      <c r="N81">
        <v>57771</v>
      </c>
      <c r="O81">
        <v>114336</v>
      </c>
      <c r="P81">
        <v>23594</v>
      </c>
      <c r="Q81">
        <v>1921</v>
      </c>
      <c r="R81">
        <v>11937</v>
      </c>
      <c r="S81">
        <v>46944</v>
      </c>
      <c r="T81">
        <v>177583</v>
      </c>
      <c r="U81">
        <v>47180</v>
      </c>
      <c r="V81">
        <v>67603</v>
      </c>
      <c r="W81">
        <v>3744</v>
      </c>
      <c r="X81">
        <v>3047</v>
      </c>
      <c r="Y81">
        <v>0.28000000000000003</v>
      </c>
      <c r="Z81">
        <v>0.35499999999999998</v>
      </c>
      <c r="AA81">
        <v>0.435</v>
      </c>
      <c r="AB81" s="6">
        <v>0.79</v>
      </c>
      <c r="AC81" s="9">
        <f t="shared" si="260"/>
        <v>0.51039000000000001</v>
      </c>
      <c r="AD81" s="6">
        <f t="shared" si="261"/>
        <v>4.44672</v>
      </c>
      <c r="AE81" s="12">
        <f t="shared" si="262"/>
        <v>1.5816600000000021</v>
      </c>
      <c r="AF81" s="4">
        <f t="shared" si="263"/>
        <v>11.65319999999994</v>
      </c>
      <c r="AG81" s="6">
        <f t="shared" si="264"/>
        <v>4.3437400000000004</v>
      </c>
      <c r="AH81">
        <f t="shared" si="265"/>
        <v>464246</v>
      </c>
      <c r="AI81" s="2">
        <f t="shared" si="266"/>
        <v>0.16561047375744756</v>
      </c>
      <c r="AJ81" s="9">
        <f t="shared" si="267"/>
        <v>5.0822193406082121E-2</v>
      </c>
      <c r="AK81" s="9">
        <f t="shared" si="268"/>
        <v>4.1378924104892665E-3</v>
      </c>
      <c r="AL81" s="9">
        <f t="shared" si="269"/>
        <v>2.5712660959922109E-2</v>
      </c>
      <c r="AM81" s="9">
        <f t="shared" si="270"/>
        <v>0.1016271545689139</v>
      </c>
      <c r="AN81" s="2">
        <f t="shared" si="271"/>
        <v>0.14561891755664022</v>
      </c>
      <c r="AO81" s="7">
        <f t="shared" si="272"/>
        <v>0.48647070734050479</v>
      </c>
      <c r="AP81" s="4">
        <f t="shared" si="281"/>
        <v>11.754693961549037</v>
      </c>
      <c r="AQ81" s="4">
        <f t="shared" si="282"/>
        <v>1.4110613551801745</v>
      </c>
      <c r="AR81" s="6">
        <f t="shared" si="273"/>
        <v>0.34183529852707401</v>
      </c>
      <c r="AS81" s="2">
        <f t="shared" si="274"/>
        <v>1.0532062503225761</v>
      </c>
      <c r="AT81" s="2">
        <f t="shared" si="275"/>
        <v>1.0561094377484164</v>
      </c>
      <c r="AU81" s="2">
        <f t="shared" si="276"/>
        <v>1.0892297848363743</v>
      </c>
      <c r="AV81" s="2">
        <f t="shared" si="277"/>
        <v>0.97759387595902247</v>
      </c>
      <c r="AW81" s="2">
        <f t="shared" si="278"/>
        <v>1.3777536283692848</v>
      </c>
      <c r="AX81" s="2">
        <f t="shared" si="279"/>
        <v>0.687927600511686</v>
      </c>
      <c r="AY81" s="2">
        <f t="shared" si="280"/>
        <v>1.0596359842416543</v>
      </c>
    </row>
    <row r="82" spans="1:51" x14ac:dyDescent="0.5">
      <c r="A82" t="s">
        <v>138</v>
      </c>
      <c r="B82">
        <v>65</v>
      </c>
      <c r="C82">
        <v>50</v>
      </c>
      <c r="D82">
        <v>50</v>
      </c>
      <c r="E82">
        <v>50</v>
      </c>
      <c r="F82">
        <v>80</v>
      </c>
      <c r="G82">
        <v>50</v>
      </c>
      <c r="H82">
        <v>100000</v>
      </c>
      <c r="I82">
        <v>51398</v>
      </c>
      <c r="J82">
        <f t="shared" si="259"/>
        <v>48602</v>
      </c>
      <c r="K82">
        <v>450130</v>
      </c>
      <c r="L82">
        <v>435546</v>
      </c>
      <c r="M82">
        <v>397711</v>
      </c>
      <c r="N82">
        <v>60382</v>
      </c>
      <c r="O82">
        <v>111531</v>
      </c>
      <c r="P82">
        <v>22920</v>
      </c>
      <c r="Q82">
        <v>1832</v>
      </c>
      <c r="R82">
        <v>11681</v>
      </c>
      <c r="S82">
        <v>46503</v>
      </c>
      <c r="T82">
        <v>173158</v>
      </c>
      <c r="U82">
        <v>60760</v>
      </c>
      <c r="V82">
        <v>66485</v>
      </c>
      <c r="W82">
        <v>3924</v>
      </c>
      <c r="X82">
        <v>3055</v>
      </c>
      <c r="Y82">
        <v>0.28000000000000003</v>
      </c>
      <c r="Z82">
        <v>0.376</v>
      </c>
      <c r="AA82">
        <v>0.435</v>
      </c>
      <c r="AB82">
        <v>0.81100000000000005</v>
      </c>
      <c r="AC82" s="9">
        <f t="shared" si="260"/>
        <v>0.51397999999999999</v>
      </c>
      <c r="AD82" s="6">
        <f t="shared" si="261"/>
        <v>4.5012999999999996</v>
      </c>
      <c r="AE82" s="12">
        <f t="shared" si="262"/>
        <v>2.1632399999999992</v>
      </c>
      <c r="AF82" s="4">
        <f t="shared" si="263"/>
        <v>20.495159999999878</v>
      </c>
      <c r="AG82" s="6">
        <f t="shared" si="264"/>
        <v>4.3554599999999999</v>
      </c>
      <c r="AH82">
        <f t="shared" si="265"/>
        <v>467640</v>
      </c>
      <c r="AI82" s="2">
        <f t="shared" si="266"/>
        <v>0.1605893422290651</v>
      </c>
      <c r="AJ82" s="9">
        <f t="shared" si="267"/>
        <v>4.9012060559404672E-2</v>
      </c>
      <c r="AK82" s="9">
        <f t="shared" si="268"/>
        <v>3.9175434094602685E-3</v>
      </c>
      <c r="AL82" s="9">
        <f t="shared" si="269"/>
        <v>2.4978616029424344E-2</v>
      </c>
      <c r="AM82" s="9">
        <f t="shared" si="270"/>
        <v>0.12992900521768883</v>
      </c>
      <c r="AN82" s="2">
        <f t="shared" si="271"/>
        <v>0.14217132837225216</v>
      </c>
      <c r="AO82" s="7">
        <f t="shared" si="272"/>
        <v>0.46940210418270456</v>
      </c>
      <c r="AP82" s="4">
        <f t="shared" si="281"/>
        <v>17.511637965399132</v>
      </c>
      <c r="AQ82" s="4">
        <f t="shared" si="282"/>
        <v>1.9698379323983484</v>
      </c>
      <c r="AR82" s="6">
        <f t="shared" si="273"/>
        <v>0.35367391583269181</v>
      </c>
      <c r="AS82" s="2">
        <f t="shared" si="274"/>
        <v>1.0212741690393032</v>
      </c>
      <c r="AT82" s="2">
        <f t="shared" si="275"/>
        <v>1.0184940131704272</v>
      </c>
      <c r="AU82" s="2">
        <f t="shared" si="276"/>
        <v>1.0312266588074532</v>
      </c>
      <c r="AV82" s="2">
        <f t="shared" si="277"/>
        <v>0.94968553034470082</v>
      </c>
      <c r="AW82" s="2">
        <f t="shared" si="278"/>
        <v>1.7614402285335542</v>
      </c>
      <c r="AX82" s="2">
        <f t="shared" si="279"/>
        <v>0.67164062492526455</v>
      </c>
      <c r="AY82" s="2">
        <f t="shared" si="280"/>
        <v>1.0224569602350018</v>
      </c>
    </row>
    <row r="83" spans="1:51" x14ac:dyDescent="0.5">
      <c r="A83" t="s">
        <v>139</v>
      </c>
      <c r="B83">
        <v>80</v>
      </c>
      <c r="C83">
        <v>50</v>
      </c>
      <c r="D83">
        <v>50</v>
      </c>
      <c r="E83">
        <v>50</v>
      </c>
      <c r="F83">
        <v>20</v>
      </c>
      <c r="G83">
        <v>50</v>
      </c>
      <c r="H83">
        <v>100000</v>
      </c>
      <c r="I83">
        <v>50640</v>
      </c>
      <c r="J83">
        <f t="shared" si="259"/>
        <v>49360</v>
      </c>
      <c r="K83">
        <v>439450</v>
      </c>
      <c r="L83">
        <v>434792</v>
      </c>
      <c r="M83">
        <v>444821</v>
      </c>
      <c r="N83">
        <v>54382</v>
      </c>
      <c r="O83">
        <v>134383</v>
      </c>
      <c r="P83">
        <v>28025</v>
      </c>
      <c r="Q83">
        <v>2173</v>
      </c>
      <c r="R83">
        <v>13057</v>
      </c>
      <c r="S83">
        <v>52403</v>
      </c>
      <c r="T83">
        <v>205925</v>
      </c>
      <c r="U83">
        <v>5719</v>
      </c>
      <c r="V83">
        <v>44976</v>
      </c>
      <c r="W83">
        <v>3205</v>
      </c>
      <c r="X83">
        <v>2496</v>
      </c>
      <c r="Y83">
        <v>0.30199999999999999</v>
      </c>
      <c r="Z83">
        <v>0.311</v>
      </c>
      <c r="AA83">
        <v>0.46300000000000002</v>
      </c>
      <c r="AB83">
        <v>0.77400000000000002</v>
      </c>
      <c r="AC83" s="9">
        <f t="shared" si="260"/>
        <v>0.50639999999999996</v>
      </c>
      <c r="AD83" s="6">
        <f t="shared" si="261"/>
        <v>4.3944999999999999</v>
      </c>
      <c r="AE83" s="12">
        <f t="shared" si="262"/>
        <v>0.93527999999999412</v>
      </c>
      <c r="AF83" s="4">
        <f t="shared" si="263"/>
        <v>3.1935599999999145</v>
      </c>
      <c r="AG83" s="6">
        <f t="shared" si="264"/>
        <v>4.3479200000000002</v>
      </c>
      <c r="AH83">
        <f t="shared" si="265"/>
        <v>459551</v>
      </c>
      <c r="AI83" s="2">
        <f t="shared" si="266"/>
        <v>0.1982979038235147</v>
      </c>
      <c r="AJ83" s="9">
        <f t="shared" si="267"/>
        <v>6.0983438182051611E-2</v>
      </c>
      <c r="AK83" s="9">
        <f t="shared" si="268"/>
        <v>4.7285284984691575E-3</v>
      </c>
      <c r="AL83" s="9">
        <f t="shared" si="269"/>
        <v>2.8412515694667188E-2</v>
      </c>
      <c r="AM83" s="9">
        <f t="shared" si="270"/>
        <v>1.2444755859523753E-2</v>
      </c>
      <c r="AN83" s="2">
        <f t="shared" si="271"/>
        <v>9.7869442129382811E-2</v>
      </c>
      <c r="AO83" s="7">
        <f t="shared" si="272"/>
        <v>0.57726341581239082</v>
      </c>
      <c r="AP83" s="4">
        <f t="shared" si="281"/>
        <v>2.7327335635304735</v>
      </c>
      <c r="AQ83" s="4">
        <f t="shared" si="282"/>
        <v>0.53537798087059907</v>
      </c>
      <c r="AR83" s="6">
        <f t="shared" si="273"/>
        <v>0.32582871106797728</v>
      </c>
      <c r="AS83" s="2">
        <f t="shared" si="274"/>
        <v>1.2610832334111282</v>
      </c>
      <c r="AT83" s="2">
        <f t="shared" si="275"/>
        <v>1.2672649544225332</v>
      </c>
      <c r="AU83" s="2">
        <f t="shared" si="276"/>
        <v>1.2447046873244423</v>
      </c>
      <c r="AV83" s="2">
        <f t="shared" si="277"/>
        <v>1.0802421961301509</v>
      </c>
      <c r="AW83" s="2">
        <f t="shared" si="278"/>
        <v>0.16871285644430897</v>
      </c>
      <c r="AX83" s="2">
        <f t="shared" si="279"/>
        <v>0.4623512632642387</v>
      </c>
      <c r="AY83" s="2">
        <f t="shared" si="280"/>
        <v>1.257401686373093</v>
      </c>
    </row>
    <row r="84" spans="1:51" x14ac:dyDescent="0.5">
      <c r="A84" t="s">
        <v>140</v>
      </c>
      <c r="B84">
        <v>80</v>
      </c>
      <c r="C84">
        <v>50</v>
      </c>
      <c r="D84">
        <v>50</v>
      </c>
      <c r="E84">
        <v>50</v>
      </c>
      <c r="F84">
        <v>35</v>
      </c>
      <c r="G84">
        <v>50</v>
      </c>
      <c r="H84">
        <v>100000</v>
      </c>
      <c r="I84">
        <v>51065</v>
      </c>
      <c r="J84">
        <f t="shared" si="259"/>
        <v>48935</v>
      </c>
      <c r="K84">
        <v>445671</v>
      </c>
      <c r="L84">
        <v>435233</v>
      </c>
      <c r="M84">
        <v>433225</v>
      </c>
      <c r="N84">
        <v>56853</v>
      </c>
      <c r="O84">
        <v>130506</v>
      </c>
      <c r="P84">
        <v>27109</v>
      </c>
      <c r="Q84">
        <v>2227</v>
      </c>
      <c r="R84">
        <v>12832</v>
      </c>
      <c r="S84">
        <v>52370</v>
      </c>
      <c r="T84">
        <v>200565</v>
      </c>
      <c r="U84">
        <v>20971</v>
      </c>
      <c r="V84">
        <v>43948</v>
      </c>
      <c r="W84">
        <v>3398</v>
      </c>
      <c r="X84">
        <v>2650</v>
      </c>
      <c r="Y84">
        <v>0.30099999999999999</v>
      </c>
      <c r="Z84">
        <v>0.33400000000000002</v>
      </c>
      <c r="AA84">
        <v>0.46300000000000002</v>
      </c>
      <c r="AB84">
        <v>0.79700000000000004</v>
      </c>
      <c r="AC84" s="9">
        <f t="shared" si="260"/>
        <v>0.51065000000000005</v>
      </c>
      <c r="AD84" s="6">
        <f t="shared" si="261"/>
        <v>4.4567100000000002</v>
      </c>
      <c r="AE84" s="12">
        <f t="shared" si="262"/>
        <v>1.6237800000000082</v>
      </c>
      <c r="AF84" s="4">
        <f t="shared" si="263"/>
        <v>13.271579999999966</v>
      </c>
      <c r="AG84" s="6">
        <f t="shared" si="264"/>
        <v>4.3523300000000003</v>
      </c>
      <c r="AH84">
        <f t="shared" si="265"/>
        <v>463280</v>
      </c>
      <c r="AI84" s="2">
        <f t="shared" si="266"/>
        <v>0.19067950267656708</v>
      </c>
      <c r="AJ84" s="9">
        <f t="shared" si="267"/>
        <v>5.8515368675530997E-2</v>
      </c>
      <c r="AK84" s="9">
        <f t="shared" si="268"/>
        <v>4.8070281471248493E-3</v>
      </c>
      <c r="AL84" s="9">
        <f t="shared" si="269"/>
        <v>2.769815230530133E-2</v>
      </c>
      <c r="AM84" s="9">
        <f t="shared" si="270"/>
        <v>4.5266361595579348E-2</v>
      </c>
      <c r="AN84" s="2">
        <f t="shared" si="271"/>
        <v>9.4862718010706268E-2</v>
      </c>
      <c r="AO84" s="7">
        <f t="shared" si="272"/>
        <v>0.55817086858919018</v>
      </c>
      <c r="AP84" s="4">
        <f t="shared" si="281"/>
        <v>9.9880975800115266</v>
      </c>
      <c r="AQ84" s="4">
        <f t="shared" si="282"/>
        <v>1.2395931806171818</v>
      </c>
      <c r="AR84" s="6">
        <f t="shared" si="273"/>
        <v>0.33827275082023833</v>
      </c>
      <c r="AS84" s="2">
        <f t="shared" si="274"/>
        <v>1.2126337149514355</v>
      </c>
      <c r="AT84" s="2">
        <f t="shared" si="275"/>
        <v>1.2159772920025251</v>
      </c>
      <c r="AU84" s="2">
        <f t="shared" si="276"/>
        <v>1.265368384427398</v>
      </c>
      <c r="AV84" s="2">
        <f t="shared" si="277"/>
        <v>1.0530821415662956</v>
      </c>
      <c r="AW84" s="2">
        <f t="shared" si="278"/>
        <v>0.61367352255341234</v>
      </c>
      <c r="AX84" s="2">
        <f t="shared" si="279"/>
        <v>0.44814700640621585</v>
      </c>
      <c r="AY84" s="2">
        <f t="shared" si="280"/>
        <v>1.2158140845642635</v>
      </c>
    </row>
    <row r="85" spans="1:51" x14ac:dyDescent="0.5">
      <c r="A85" t="s">
        <v>141</v>
      </c>
      <c r="B85">
        <v>80</v>
      </c>
      <c r="C85">
        <v>50</v>
      </c>
      <c r="D85">
        <v>50</v>
      </c>
      <c r="E85">
        <v>50</v>
      </c>
      <c r="F85">
        <v>65</v>
      </c>
      <c r="G85">
        <v>50</v>
      </c>
      <c r="H85">
        <v>100000</v>
      </c>
      <c r="I85">
        <v>51815</v>
      </c>
      <c r="J85">
        <f t="shared" si="259"/>
        <v>48185</v>
      </c>
      <c r="K85">
        <v>452116</v>
      </c>
      <c r="L85">
        <v>435247</v>
      </c>
      <c r="M85">
        <v>409983</v>
      </c>
      <c r="N85">
        <v>61036</v>
      </c>
      <c r="O85">
        <v>123690</v>
      </c>
      <c r="P85">
        <v>25741</v>
      </c>
      <c r="Q85">
        <v>2008</v>
      </c>
      <c r="R85">
        <v>12054</v>
      </c>
      <c r="S85">
        <v>50206</v>
      </c>
      <c r="T85">
        <v>189609</v>
      </c>
      <c r="U85">
        <v>47839</v>
      </c>
      <c r="V85">
        <v>41648</v>
      </c>
      <c r="W85">
        <v>3909</v>
      </c>
      <c r="X85">
        <v>3167</v>
      </c>
      <c r="Y85">
        <v>0.30199999999999999</v>
      </c>
      <c r="Z85">
        <v>0.375</v>
      </c>
      <c r="AA85">
        <v>0.46200000000000002</v>
      </c>
      <c r="AB85">
        <v>0.83699999999999997</v>
      </c>
      <c r="AC85" s="9">
        <f t="shared" si="260"/>
        <v>0.51815</v>
      </c>
      <c r="AD85" s="6">
        <f t="shared" si="261"/>
        <v>4.5211600000000001</v>
      </c>
      <c r="AE85" s="12">
        <f t="shared" si="262"/>
        <v>2.8387800000000003</v>
      </c>
      <c r="AF85" s="4">
        <f t="shared" si="263"/>
        <v>23.71247999999995</v>
      </c>
      <c r="AG85" s="6">
        <f t="shared" si="264"/>
        <v>4.3524700000000003</v>
      </c>
      <c r="AH85">
        <f t="shared" si="265"/>
        <v>466978</v>
      </c>
      <c r="AI85" s="2">
        <f t="shared" si="266"/>
        <v>0.17963801292566245</v>
      </c>
      <c r="AJ85" s="9">
        <f t="shared" si="267"/>
        <v>5.512251112472108E-2</v>
      </c>
      <c r="AK85" s="9">
        <f t="shared" si="268"/>
        <v>4.2999884362860778E-3</v>
      </c>
      <c r="AL85" s="9">
        <f t="shared" si="269"/>
        <v>2.5812779188741225E-2</v>
      </c>
      <c r="AM85" s="9">
        <f t="shared" si="270"/>
        <v>0.1024437982089092</v>
      </c>
      <c r="AN85" s="2">
        <f t="shared" si="271"/>
        <v>8.9186214339861833E-2</v>
      </c>
      <c r="AO85" s="7">
        <f t="shared" si="272"/>
        <v>0.52349669577581803</v>
      </c>
      <c r="AP85" s="4">
        <f t="shared" si="281"/>
        <v>20.687651376355916</v>
      </c>
      <c r="AQ85" s="4">
        <f t="shared" si="282"/>
        <v>2.2781059825629129</v>
      </c>
      <c r="AR85" s="6">
        <f t="shared" si="273"/>
        <v>0.36082856151681664</v>
      </c>
      <c r="AS85" s="2">
        <f t="shared" si="274"/>
        <v>1.1424149313522944</v>
      </c>
      <c r="AT85" s="2">
        <f t="shared" si="275"/>
        <v>1.1454720925965212</v>
      </c>
      <c r="AU85" s="2">
        <f t="shared" si="276"/>
        <v>1.1318988061125017</v>
      </c>
      <c r="AV85" s="2">
        <f t="shared" si="277"/>
        <v>0.98140036520251184</v>
      </c>
      <c r="AW85" s="2">
        <f t="shared" si="278"/>
        <v>1.3888248203441156</v>
      </c>
      <c r="AX85" s="2">
        <f t="shared" si="279"/>
        <v>0.42133027397129114</v>
      </c>
      <c r="AY85" s="2">
        <f t="shared" si="280"/>
        <v>1.1402864100661869</v>
      </c>
    </row>
    <row r="86" spans="1:51" x14ac:dyDescent="0.5">
      <c r="A86" t="s">
        <v>142</v>
      </c>
      <c r="B86">
        <v>80</v>
      </c>
      <c r="C86">
        <v>50</v>
      </c>
      <c r="D86">
        <v>50</v>
      </c>
      <c r="E86">
        <v>50</v>
      </c>
      <c r="F86">
        <v>80</v>
      </c>
      <c r="G86">
        <v>50</v>
      </c>
      <c r="H86">
        <v>100000</v>
      </c>
      <c r="I86">
        <v>52421</v>
      </c>
      <c r="J86">
        <f t="shared" si="259"/>
        <v>47579</v>
      </c>
      <c r="K86">
        <v>458811</v>
      </c>
      <c r="L86">
        <v>433997</v>
      </c>
      <c r="M86">
        <v>395285</v>
      </c>
      <c r="N86">
        <v>63907</v>
      </c>
      <c r="O86">
        <v>119346</v>
      </c>
      <c r="P86">
        <v>25072</v>
      </c>
      <c r="Q86">
        <v>1975</v>
      </c>
      <c r="R86">
        <v>11710</v>
      </c>
      <c r="S86">
        <v>48009</v>
      </c>
      <c r="T86">
        <v>183498</v>
      </c>
      <c r="U86">
        <v>64344</v>
      </c>
      <c r="V86">
        <v>39921</v>
      </c>
      <c r="W86">
        <v>4274</v>
      </c>
      <c r="X86">
        <v>3333</v>
      </c>
      <c r="Y86">
        <v>0.30199999999999999</v>
      </c>
      <c r="Z86">
        <v>0.39900000000000002</v>
      </c>
      <c r="AA86">
        <v>0.46400000000000002</v>
      </c>
      <c r="AB86">
        <v>0.86399999999999999</v>
      </c>
      <c r="AC86" s="9">
        <f t="shared" si="260"/>
        <v>0.52420999999999995</v>
      </c>
      <c r="AD86" s="6">
        <f t="shared" si="261"/>
        <v>4.5881100000000004</v>
      </c>
      <c r="AE86" s="12">
        <f t="shared" si="262"/>
        <v>3.8204999999999929</v>
      </c>
      <c r="AF86" s="4">
        <f t="shared" si="263"/>
        <v>34.55838</v>
      </c>
      <c r="AG86" s="6">
        <f t="shared" si="264"/>
        <v>4.3399700000000001</v>
      </c>
      <c r="AH86">
        <f t="shared" si="265"/>
        <v>468822</v>
      </c>
      <c r="AI86" s="2">
        <f t="shared" si="266"/>
        <v>0.17189679665203425</v>
      </c>
      <c r="AJ86" s="9">
        <f t="shared" si="267"/>
        <v>5.347871900209461E-2</v>
      </c>
      <c r="AK86" s="9">
        <f t="shared" si="268"/>
        <v>4.2126862647230718E-3</v>
      </c>
      <c r="AL86" s="9">
        <f t="shared" si="269"/>
        <v>2.4977496789826414E-2</v>
      </c>
      <c r="AM86" s="9">
        <f t="shared" si="270"/>
        <v>0.13724611899612219</v>
      </c>
      <c r="AN86" s="2">
        <f t="shared" si="271"/>
        <v>8.5151720695701136E-2</v>
      </c>
      <c r="AO86" s="7">
        <f t="shared" si="272"/>
        <v>0.50303646159949822</v>
      </c>
      <c r="AP86" s="4">
        <f t="shared" si="281"/>
        <v>28.086539764051395</v>
      </c>
      <c r="AQ86" s="4">
        <f t="shared" si="282"/>
        <v>2.9962518470581805</v>
      </c>
      <c r="AR86" s="6">
        <f t="shared" si="273"/>
        <v>0.37511584353976557</v>
      </c>
      <c r="AS86" s="2">
        <f t="shared" si="274"/>
        <v>1.093184365316809</v>
      </c>
      <c r="AT86" s="2">
        <f t="shared" si="275"/>
        <v>1.1113133076631152</v>
      </c>
      <c r="AU86" s="2">
        <f t="shared" si="276"/>
        <v>1.1089179945993097</v>
      </c>
      <c r="AV86" s="2">
        <f t="shared" si="277"/>
        <v>0.94964297692020805</v>
      </c>
      <c r="AW86" s="2">
        <f t="shared" si="278"/>
        <v>1.8606379291893504</v>
      </c>
      <c r="AX86" s="2">
        <f t="shared" si="279"/>
        <v>0.40227066565613123</v>
      </c>
      <c r="AY86" s="2">
        <f t="shared" si="280"/>
        <v>1.0957196971025958</v>
      </c>
    </row>
    <row r="87" spans="1:51" x14ac:dyDescent="0.5">
      <c r="A87" t="s">
        <v>144</v>
      </c>
      <c r="B87">
        <v>50</v>
      </c>
      <c r="C87">
        <v>50</v>
      </c>
      <c r="D87">
        <v>50</v>
      </c>
      <c r="E87">
        <v>20</v>
      </c>
      <c r="F87">
        <v>20</v>
      </c>
      <c r="G87">
        <v>50</v>
      </c>
      <c r="H87">
        <v>100000</v>
      </c>
      <c r="I87">
        <v>47267</v>
      </c>
      <c r="J87">
        <f t="shared" si="259"/>
        <v>52733</v>
      </c>
      <c r="K87">
        <v>408805</v>
      </c>
      <c r="L87">
        <v>434385</v>
      </c>
      <c r="M87">
        <v>429708</v>
      </c>
      <c r="N87">
        <v>36374</v>
      </c>
      <c r="O87">
        <v>101875</v>
      </c>
      <c r="P87">
        <v>23236</v>
      </c>
      <c r="Q87">
        <v>1803</v>
      </c>
      <c r="R87">
        <v>899</v>
      </c>
      <c r="S87">
        <v>28044</v>
      </c>
      <c r="T87">
        <v>131414</v>
      </c>
      <c r="U87">
        <v>5553</v>
      </c>
      <c r="V87">
        <v>100447</v>
      </c>
      <c r="W87">
        <v>2733</v>
      </c>
      <c r="X87">
        <v>2221</v>
      </c>
      <c r="Y87">
        <v>0.23699999999999999</v>
      </c>
      <c r="Z87">
        <v>0.248</v>
      </c>
      <c r="AA87">
        <v>0.30599999999999999</v>
      </c>
      <c r="AB87">
        <v>0.55400000000000005</v>
      </c>
      <c r="AC87" s="9">
        <f t="shared" ref="AC87:AC102" si="283">I87/H87</f>
        <v>0.47266999999999998</v>
      </c>
      <c r="AD87" s="6">
        <f t="shared" ref="AD87:AD102" si="284">K87/H87</f>
        <v>4.08805</v>
      </c>
      <c r="AE87" s="12">
        <f t="shared" ref="AE87:AE102" si="285">(AC87-$AC$7)*162</f>
        <v>-4.5289800000000033</v>
      </c>
      <c r="AF87" s="4">
        <f t="shared" ref="AF87:AF102" si="286">(AD87-$AD$7)*162</f>
        <v>-46.451340000000066</v>
      </c>
      <c r="AG87" s="6">
        <f t="shared" ref="AG87:AG102" si="287">L87/H87</f>
        <v>4.3438499999999998</v>
      </c>
      <c r="AH87">
        <f t="shared" ref="AH87:AH102" si="288">ROUND((M87+U87)*1.02,0)</f>
        <v>443966</v>
      </c>
      <c r="AI87" s="2">
        <f t="shared" ref="AI87:AI102" si="289">(O87-SUM(P87:R87))/$AH87</f>
        <v>0.17104237711896858</v>
      </c>
      <c r="AJ87" s="9">
        <f t="shared" ref="AJ87:AJ102" si="290">P87/$AH87</f>
        <v>5.2337341147745547E-2</v>
      </c>
      <c r="AK87" s="9">
        <f t="shared" ref="AK87:AK102" si="291">Q87/$AH87</f>
        <v>4.0611217976151328E-3</v>
      </c>
      <c r="AL87" s="9">
        <f t="shared" ref="AL87:AL102" si="292">R87/$AH87</f>
        <v>2.0249298369694976E-3</v>
      </c>
      <c r="AM87" s="9">
        <f t="shared" ref="AM87:AM102" si="293">U87/$AH87</f>
        <v>1.2507714554718155E-2</v>
      </c>
      <c r="AN87" s="2">
        <f t="shared" ref="AN87:AN102" si="294">V87/$AH87</f>
        <v>0.22624930737939392</v>
      </c>
      <c r="AO87" s="7">
        <f t="shared" ref="AO87:AO102" si="295">1-SUM(AI87:AN87)-0.02</f>
        <v>0.51177720816458916</v>
      </c>
      <c r="AP87" s="4">
        <f t="shared" si="281"/>
        <v>-45.15010953735873</v>
      </c>
      <c r="AQ87" s="4">
        <f t="shared" si="282"/>
        <v>-4.1121939179521334</v>
      </c>
      <c r="AR87" s="6">
        <f t="shared" ref="AR87:AR102" si="296">SUMPRODUCT($AI$1:$AN$1,AI87:AN87)</f>
        <v>0.23812596009604342</v>
      </c>
      <c r="AS87" s="2">
        <f t="shared" ref="AS87:AS102" si="297">AI87/AI$7</f>
        <v>1.0877506510582506</v>
      </c>
      <c r="AT87" s="2">
        <f t="shared" ref="AT87:AT102" si="298">AJ87/AJ$7</f>
        <v>1.0875949310400626</v>
      </c>
      <c r="AU87" s="2">
        <f t="shared" ref="AU87:AU102" si="299">AK87/AK$7</f>
        <v>1.0690212269892259</v>
      </c>
      <c r="AV87" s="2">
        <f t="shared" ref="AV87:AV102" si="300">AL87/AL$7</f>
        <v>7.6987714766417525E-2</v>
      </c>
      <c r="AW87" s="2">
        <f t="shared" ref="AW87:AW102" si="301">AM87/AM$7</f>
        <v>0.16956638394007945</v>
      </c>
      <c r="AX87" s="2">
        <f t="shared" ref="AX87:AX102" si="302">AN87/AN$7</f>
        <v>1.0688387591014614</v>
      </c>
      <c r="AY87" s="2">
        <f t="shared" ref="AY87:AY102" si="303">AO87/AO$7</f>
        <v>1.1147588899044434</v>
      </c>
    </row>
    <row r="88" spans="1:51" x14ac:dyDescent="0.5">
      <c r="A88" t="s">
        <v>145</v>
      </c>
      <c r="B88">
        <v>50</v>
      </c>
      <c r="C88">
        <v>50</v>
      </c>
      <c r="D88">
        <v>50</v>
      </c>
      <c r="E88">
        <v>20</v>
      </c>
      <c r="F88">
        <v>35</v>
      </c>
      <c r="G88">
        <v>50</v>
      </c>
      <c r="H88">
        <v>100000</v>
      </c>
      <c r="I88">
        <v>47845</v>
      </c>
      <c r="J88">
        <f t="shared" si="259"/>
        <v>52155</v>
      </c>
      <c r="K88">
        <v>412816</v>
      </c>
      <c r="L88">
        <v>435001</v>
      </c>
      <c r="M88">
        <v>418417</v>
      </c>
      <c r="N88">
        <v>38936</v>
      </c>
      <c r="O88">
        <v>99323</v>
      </c>
      <c r="P88">
        <v>22969</v>
      </c>
      <c r="Q88">
        <v>1762</v>
      </c>
      <c r="R88">
        <v>917</v>
      </c>
      <c r="S88">
        <v>27463</v>
      </c>
      <c r="T88">
        <v>128567</v>
      </c>
      <c r="U88">
        <v>17969</v>
      </c>
      <c r="V88">
        <v>97593</v>
      </c>
      <c r="W88">
        <v>2970</v>
      </c>
      <c r="X88">
        <v>2341</v>
      </c>
      <c r="Y88">
        <v>0.23699999999999999</v>
      </c>
      <c r="Z88">
        <v>0.27</v>
      </c>
      <c r="AA88">
        <v>0.307</v>
      </c>
      <c r="AB88">
        <v>0.57699999999999996</v>
      </c>
      <c r="AC88" s="9">
        <f t="shared" si="283"/>
        <v>0.47844999999999999</v>
      </c>
      <c r="AD88" s="6">
        <f t="shared" si="284"/>
        <v>4.1281600000000003</v>
      </c>
      <c r="AE88" s="12">
        <f t="shared" si="285"/>
        <v>-3.5926200000000019</v>
      </c>
      <c r="AF88" s="4">
        <f t="shared" si="286"/>
        <v>-39.953520000000019</v>
      </c>
      <c r="AG88" s="6">
        <f t="shared" si="287"/>
        <v>4.3500100000000002</v>
      </c>
      <c r="AH88">
        <f t="shared" si="288"/>
        <v>445114</v>
      </c>
      <c r="AI88" s="2">
        <f t="shared" si="289"/>
        <v>0.16551939503138521</v>
      </c>
      <c r="AJ88" s="9">
        <f t="shared" si="290"/>
        <v>5.1602510817453505E-2</v>
      </c>
      <c r="AK88" s="9">
        <f t="shared" si="291"/>
        <v>3.9585364648157548E-3</v>
      </c>
      <c r="AL88" s="9">
        <f t="shared" si="292"/>
        <v>2.0601463894642721E-3</v>
      </c>
      <c r="AM88" s="9">
        <f t="shared" si="293"/>
        <v>4.0369433448509823E-2</v>
      </c>
      <c r="AN88" s="2">
        <f t="shared" si="294"/>
        <v>0.21925394393346423</v>
      </c>
      <c r="AO88" s="7">
        <f t="shared" si="295"/>
        <v>0.49723603391490723</v>
      </c>
      <c r="AP88" s="4">
        <f t="shared" si="281"/>
        <v>-38.03947724299951</v>
      </c>
      <c r="AQ88" s="4">
        <f t="shared" si="282"/>
        <v>-3.422026570025551</v>
      </c>
      <c r="AR88" s="6">
        <f t="shared" si="296"/>
        <v>0.25221316336938404</v>
      </c>
      <c r="AS88" s="2">
        <f t="shared" si="297"/>
        <v>1.0526270316211022</v>
      </c>
      <c r="AT88" s="2">
        <f t="shared" si="298"/>
        <v>1.0723248060227439</v>
      </c>
      <c r="AU88" s="2">
        <f t="shared" si="299"/>
        <v>1.0420173832717856</v>
      </c>
      <c r="AV88" s="2">
        <f t="shared" si="300"/>
        <v>7.8326646046417772E-2</v>
      </c>
      <c r="AW88" s="2">
        <f t="shared" si="301"/>
        <v>0.54728614261438524</v>
      </c>
      <c r="AX88" s="2">
        <f t="shared" si="302"/>
        <v>1.0357915172264918</v>
      </c>
      <c r="AY88" s="2">
        <f t="shared" si="303"/>
        <v>1.0830851400658821</v>
      </c>
    </row>
    <row r="89" spans="1:51" x14ac:dyDescent="0.5">
      <c r="A89" t="s">
        <v>146</v>
      </c>
      <c r="B89">
        <v>50</v>
      </c>
      <c r="C89">
        <v>50</v>
      </c>
      <c r="D89">
        <v>50</v>
      </c>
      <c r="E89">
        <v>20</v>
      </c>
      <c r="F89">
        <v>65</v>
      </c>
      <c r="G89">
        <v>50</v>
      </c>
      <c r="H89">
        <v>100000</v>
      </c>
      <c r="I89">
        <v>48646</v>
      </c>
      <c r="J89">
        <f t="shared" si="259"/>
        <v>51354</v>
      </c>
      <c r="K89">
        <v>421021</v>
      </c>
      <c r="L89">
        <v>433905</v>
      </c>
      <c r="M89">
        <v>394631</v>
      </c>
      <c r="N89">
        <v>43537</v>
      </c>
      <c r="O89">
        <v>93699</v>
      </c>
      <c r="P89">
        <v>21324</v>
      </c>
      <c r="Q89">
        <v>1609</v>
      </c>
      <c r="R89">
        <v>835</v>
      </c>
      <c r="S89">
        <v>26218</v>
      </c>
      <c r="T89">
        <v>120746</v>
      </c>
      <c r="U89">
        <v>43775</v>
      </c>
      <c r="V89">
        <v>92079</v>
      </c>
      <c r="W89">
        <v>3539</v>
      </c>
      <c r="X89">
        <v>2888</v>
      </c>
      <c r="Y89">
        <v>0.23699999999999999</v>
      </c>
      <c r="Z89">
        <v>0.314</v>
      </c>
      <c r="AA89">
        <v>0.30599999999999999</v>
      </c>
      <c r="AB89">
        <v>0.62</v>
      </c>
      <c r="AC89" s="9">
        <f t="shared" si="283"/>
        <v>0.48646</v>
      </c>
      <c r="AD89" s="6">
        <f t="shared" si="284"/>
        <v>4.21021</v>
      </c>
      <c r="AE89" s="12">
        <f t="shared" si="285"/>
        <v>-2.294999999999999</v>
      </c>
      <c r="AF89" s="4">
        <f t="shared" si="286"/>
        <v>-26.66142000000006</v>
      </c>
      <c r="AG89" s="6">
        <f t="shared" si="287"/>
        <v>4.3390500000000003</v>
      </c>
      <c r="AH89">
        <f t="shared" si="288"/>
        <v>447174</v>
      </c>
      <c r="AI89" s="2">
        <f t="shared" si="289"/>
        <v>0.15638431572497508</v>
      </c>
      <c r="AJ89" s="9">
        <f t="shared" si="290"/>
        <v>4.768613559822351E-2</v>
      </c>
      <c r="AK89" s="9">
        <f t="shared" si="291"/>
        <v>3.5981519498003013E-3</v>
      </c>
      <c r="AL89" s="9">
        <f t="shared" si="292"/>
        <v>1.8672820870623069E-3</v>
      </c>
      <c r="AM89" s="9">
        <f t="shared" si="293"/>
        <v>9.7892542947488004E-2</v>
      </c>
      <c r="AN89" s="2">
        <f t="shared" si="294"/>
        <v>0.20591313448456305</v>
      </c>
      <c r="AO89" s="7">
        <f t="shared" si="295"/>
        <v>0.46665843720788769</v>
      </c>
      <c r="AP89" s="4">
        <f t="shared" si="281"/>
        <v>-24.026751823801987</v>
      </c>
      <c r="AQ89" s="4">
        <f t="shared" si="282"/>
        <v>-2.0619329609856152</v>
      </c>
      <c r="AR89" s="6">
        <f t="shared" si="296"/>
        <v>0.27961364032792607</v>
      </c>
      <c r="AS89" s="2">
        <f t="shared" si="297"/>
        <v>0.99453213940556129</v>
      </c>
      <c r="AT89" s="2">
        <f t="shared" si="298"/>
        <v>0.99094065957821387</v>
      </c>
      <c r="AU89" s="2">
        <f t="shared" si="299"/>
        <v>0.94715229041592053</v>
      </c>
      <c r="AV89" s="2">
        <f t="shared" si="300"/>
        <v>7.0993956473248007E-2</v>
      </c>
      <c r="AW89" s="2">
        <f t="shared" si="301"/>
        <v>1.3271237083071177</v>
      </c>
      <c r="AX89" s="2">
        <f t="shared" si="302"/>
        <v>0.97276734985142177</v>
      </c>
      <c r="AY89" s="2">
        <f t="shared" si="303"/>
        <v>1.0164806738699186</v>
      </c>
    </row>
    <row r="90" spans="1:51" x14ac:dyDescent="0.5">
      <c r="A90" t="s">
        <v>147</v>
      </c>
      <c r="B90">
        <v>50</v>
      </c>
      <c r="C90">
        <v>50</v>
      </c>
      <c r="D90">
        <v>50</v>
      </c>
      <c r="E90">
        <v>20</v>
      </c>
      <c r="F90">
        <v>80</v>
      </c>
      <c r="G90">
        <v>50</v>
      </c>
      <c r="H90">
        <v>100000</v>
      </c>
      <c r="I90">
        <v>49174</v>
      </c>
      <c r="J90">
        <f t="shared" si="259"/>
        <v>50826</v>
      </c>
      <c r="K90">
        <v>426291</v>
      </c>
      <c r="L90">
        <v>434152</v>
      </c>
      <c r="M90">
        <v>383817</v>
      </c>
      <c r="N90">
        <v>45820</v>
      </c>
      <c r="O90">
        <v>91414</v>
      </c>
      <c r="P90">
        <v>20686</v>
      </c>
      <c r="Q90">
        <v>1642</v>
      </c>
      <c r="R90">
        <v>810</v>
      </c>
      <c r="S90">
        <v>26159</v>
      </c>
      <c r="T90">
        <v>117814</v>
      </c>
      <c r="U90">
        <v>55879</v>
      </c>
      <c r="V90">
        <v>89589</v>
      </c>
      <c r="W90">
        <v>3785</v>
      </c>
      <c r="X90">
        <v>3047</v>
      </c>
      <c r="Y90">
        <v>0.23799999999999999</v>
      </c>
      <c r="Z90">
        <v>0.33500000000000002</v>
      </c>
      <c r="AA90">
        <v>0.307</v>
      </c>
      <c r="AB90">
        <v>0.64200000000000002</v>
      </c>
      <c r="AC90" s="9">
        <f t="shared" si="283"/>
        <v>0.49174000000000001</v>
      </c>
      <c r="AD90" s="6">
        <f t="shared" si="284"/>
        <v>4.2629099999999998</v>
      </c>
      <c r="AE90" s="12">
        <f t="shared" si="285"/>
        <v>-1.439639999999998</v>
      </c>
      <c r="AF90" s="4">
        <f t="shared" si="286"/>
        <v>-18.124020000000101</v>
      </c>
      <c r="AG90" s="6">
        <f t="shared" si="287"/>
        <v>4.34152</v>
      </c>
      <c r="AH90">
        <f t="shared" si="288"/>
        <v>448490</v>
      </c>
      <c r="AI90" s="2">
        <f t="shared" si="289"/>
        <v>0.15223527837855916</v>
      </c>
      <c r="AJ90" s="9">
        <f t="shared" si="290"/>
        <v>4.6123659390398891E-2</v>
      </c>
      <c r="AK90" s="9">
        <f t="shared" si="291"/>
        <v>3.6611741621886775E-3</v>
      </c>
      <c r="AL90" s="9">
        <f t="shared" si="292"/>
        <v>1.8060603357934401E-3</v>
      </c>
      <c r="AM90" s="9">
        <f t="shared" si="293"/>
        <v>0.12459363642444647</v>
      </c>
      <c r="AN90" s="2">
        <f t="shared" si="294"/>
        <v>0.19975696225110928</v>
      </c>
      <c r="AO90" s="7">
        <f t="shared" si="295"/>
        <v>0.45182322905750405</v>
      </c>
      <c r="AP90" s="4">
        <f t="shared" si="281"/>
        <v>-16.643890203743013</v>
      </c>
      <c r="AQ90" s="4">
        <f t="shared" si="282"/>
        <v>-1.3453426756930995</v>
      </c>
      <c r="AR90" s="6">
        <f t="shared" si="296"/>
        <v>0.29314575575821084</v>
      </c>
      <c r="AS90" s="2">
        <f t="shared" si="297"/>
        <v>0.96814617499809863</v>
      </c>
      <c r="AT90" s="2">
        <f t="shared" si="298"/>
        <v>0.95847165816861601</v>
      </c>
      <c r="AU90" s="2">
        <f t="shared" si="299"/>
        <v>0.96374181571766382</v>
      </c>
      <c r="AV90" s="2">
        <f t="shared" si="300"/>
        <v>6.8666309046588506E-2</v>
      </c>
      <c r="AW90" s="2">
        <f t="shared" si="301"/>
        <v>1.6891089333717548</v>
      </c>
      <c r="AX90" s="2">
        <f t="shared" si="302"/>
        <v>0.9436845846176446</v>
      </c>
      <c r="AY90" s="2">
        <f t="shared" si="303"/>
        <v>0.98416645607086339</v>
      </c>
    </row>
    <row r="91" spans="1:51" x14ac:dyDescent="0.5">
      <c r="A91" t="s">
        <v>148</v>
      </c>
      <c r="B91">
        <v>50</v>
      </c>
      <c r="C91">
        <v>50</v>
      </c>
      <c r="D91">
        <v>50</v>
      </c>
      <c r="E91">
        <v>35</v>
      </c>
      <c r="F91">
        <v>20</v>
      </c>
      <c r="G91">
        <v>50</v>
      </c>
      <c r="H91">
        <v>100000</v>
      </c>
      <c r="I91">
        <v>48111</v>
      </c>
      <c r="J91">
        <f t="shared" si="259"/>
        <v>51889</v>
      </c>
      <c r="K91">
        <v>417778</v>
      </c>
      <c r="L91">
        <v>435412</v>
      </c>
      <c r="M91">
        <v>430844</v>
      </c>
      <c r="N91">
        <v>42249</v>
      </c>
      <c r="O91">
        <v>107994</v>
      </c>
      <c r="P91">
        <v>25166</v>
      </c>
      <c r="Q91">
        <v>1885</v>
      </c>
      <c r="R91">
        <v>5941</v>
      </c>
      <c r="S91">
        <v>35319</v>
      </c>
      <c r="T91">
        <v>154753</v>
      </c>
      <c r="U91">
        <v>5399</v>
      </c>
      <c r="V91">
        <v>100620</v>
      </c>
      <c r="W91">
        <v>2685</v>
      </c>
      <c r="X91">
        <v>2131</v>
      </c>
      <c r="Y91">
        <v>0.251</v>
      </c>
      <c r="Z91">
        <v>0.26100000000000001</v>
      </c>
      <c r="AA91">
        <v>0.35899999999999999</v>
      </c>
      <c r="AB91">
        <v>0.62</v>
      </c>
      <c r="AC91" s="9">
        <f t="shared" si="283"/>
        <v>0.48110999999999998</v>
      </c>
      <c r="AD91" s="6">
        <f t="shared" si="284"/>
        <v>4.1777800000000003</v>
      </c>
      <c r="AE91" s="12">
        <f t="shared" si="285"/>
        <v>-3.1617000000000024</v>
      </c>
      <c r="AF91" s="4">
        <f t="shared" si="286"/>
        <v>-31.915080000000017</v>
      </c>
      <c r="AG91" s="6">
        <f t="shared" si="287"/>
        <v>4.35412</v>
      </c>
      <c r="AH91">
        <f t="shared" si="288"/>
        <v>444968</v>
      </c>
      <c r="AI91" s="2">
        <f t="shared" si="289"/>
        <v>0.16855594110138258</v>
      </c>
      <c r="AJ91" s="9">
        <f t="shared" si="290"/>
        <v>5.6556876000071914E-2</v>
      </c>
      <c r="AK91" s="9">
        <f t="shared" si="291"/>
        <v>4.2362596860897866E-3</v>
      </c>
      <c r="AL91" s="9">
        <f t="shared" si="292"/>
        <v>1.3351521907193326E-2</v>
      </c>
      <c r="AM91" s="9">
        <f t="shared" si="293"/>
        <v>1.2133456787903849E-2</v>
      </c>
      <c r="AN91" s="2">
        <f t="shared" si="294"/>
        <v>0.2261286204850686</v>
      </c>
      <c r="AO91" s="7">
        <f t="shared" si="295"/>
        <v>0.49903732403228984</v>
      </c>
      <c r="AP91" s="4">
        <f t="shared" si="281"/>
        <v>-32.026133177068914</v>
      </c>
      <c r="AQ91" s="4">
        <f t="shared" si="282"/>
        <v>-2.8383634646438143</v>
      </c>
      <c r="AR91" s="6">
        <f t="shared" si="296"/>
        <v>0.2632109949479513</v>
      </c>
      <c r="AS91" s="2">
        <f t="shared" si="297"/>
        <v>1.0719380644788286</v>
      </c>
      <c r="AT91" s="2">
        <f t="shared" si="298"/>
        <v>1.1752788793664042</v>
      </c>
      <c r="AU91" s="2">
        <f t="shared" si="299"/>
        <v>1.1151232967521727</v>
      </c>
      <c r="AV91" s="2">
        <f t="shared" si="300"/>
        <v>0.50762408727550312</v>
      </c>
      <c r="AW91" s="2">
        <f t="shared" si="301"/>
        <v>0.1644925924090557</v>
      </c>
      <c r="AX91" s="2">
        <f t="shared" si="302"/>
        <v>1.0682686144594089</v>
      </c>
      <c r="AY91" s="2">
        <f t="shared" si="303"/>
        <v>1.0870087305259784</v>
      </c>
    </row>
    <row r="92" spans="1:51" x14ac:dyDescent="0.5">
      <c r="A92" t="s">
        <v>149</v>
      </c>
      <c r="B92">
        <v>50</v>
      </c>
      <c r="C92">
        <v>50</v>
      </c>
      <c r="D92">
        <v>50</v>
      </c>
      <c r="E92">
        <v>35</v>
      </c>
      <c r="F92">
        <v>35</v>
      </c>
      <c r="G92">
        <v>50</v>
      </c>
      <c r="H92">
        <v>100000</v>
      </c>
      <c r="I92">
        <v>48869</v>
      </c>
      <c r="J92">
        <f t="shared" si="259"/>
        <v>51131</v>
      </c>
      <c r="K92">
        <v>422205</v>
      </c>
      <c r="L92">
        <v>435926</v>
      </c>
      <c r="M92">
        <v>419689</v>
      </c>
      <c r="N92">
        <v>44145</v>
      </c>
      <c r="O92">
        <v>105751</v>
      </c>
      <c r="P92">
        <v>24852</v>
      </c>
      <c r="Q92">
        <v>1785</v>
      </c>
      <c r="R92">
        <v>5607</v>
      </c>
      <c r="S92">
        <v>34898</v>
      </c>
      <c r="T92">
        <v>150994</v>
      </c>
      <c r="U92">
        <v>18000</v>
      </c>
      <c r="V92">
        <v>97551</v>
      </c>
      <c r="W92">
        <v>3073</v>
      </c>
      <c r="X92">
        <v>2384</v>
      </c>
      <c r="Y92">
        <v>0.252</v>
      </c>
      <c r="Z92">
        <v>0.28399999999999997</v>
      </c>
      <c r="AA92">
        <v>0.36</v>
      </c>
      <c r="AB92">
        <v>0.64400000000000002</v>
      </c>
      <c r="AC92" s="9">
        <f t="shared" si="283"/>
        <v>0.48869000000000001</v>
      </c>
      <c r="AD92" s="6">
        <f t="shared" si="284"/>
        <v>4.2220500000000003</v>
      </c>
      <c r="AE92" s="12">
        <f t="shared" si="285"/>
        <v>-1.9337399999999976</v>
      </c>
      <c r="AF92" s="4">
        <f t="shared" si="286"/>
        <v>-24.743340000000011</v>
      </c>
      <c r="AG92" s="6">
        <f t="shared" si="287"/>
        <v>4.3592599999999999</v>
      </c>
      <c r="AH92">
        <f t="shared" si="288"/>
        <v>446443</v>
      </c>
      <c r="AI92" s="2">
        <f t="shared" si="289"/>
        <v>0.16465035850041326</v>
      </c>
      <c r="AJ92" s="9">
        <f t="shared" si="290"/>
        <v>5.5666680852874836E-2</v>
      </c>
      <c r="AK92" s="9">
        <f t="shared" si="291"/>
        <v>3.9982707758885235E-3</v>
      </c>
      <c r="AL92" s="9">
        <f t="shared" si="292"/>
        <v>1.2559274084261596E-2</v>
      </c>
      <c r="AM92" s="9">
        <f t="shared" si="293"/>
        <v>4.0318696899716198E-2</v>
      </c>
      <c r="AN92" s="2">
        <f t="shared" si="294"/>
        <v>0.21850717784801196</v>
      </c>
      <c r="AO92" s="7">
        <f t="shared" si="295"/>
        <v>0.48429954103883355</v>
      </c>
      <c r="AP92" s="4">
        <f t="shared" si="281"/>
        <v>-25.68036781069668</v>
      </c>
      <c r="AQ92" s="4">
        <f t="shared" si="282"/>
        <v>-2.2224351094470767</v>
      </c>
      <c r="AR92" s="6">
        <f t="shared" si="296"/>
        <v>0.27696935555042856</v>
      </c>
      <c r="AS92" s="2">
        <f t="shared" si="297"/>
        <v>1.0471003599957387</v>
      </c>
      <c r="AT92" s="2">
        <f t="shared" si="298"/>
        <v>1.1567801992940843</v>
      </c>
      <c r="AU92" s="2">
        <f t="shared" si="299"/>
        <v>1.0524767647169633</v>
      </c>
      <c r="AV92" s="2">
        <f t="shared" si="300"/>
        <v>0.47750287107204908</v>
      </c>
      <c r="AW92" s="2">
        <f t="shared" si="301"/>
        <v>0.5465983100711258</v>
      </c>
      <c r="AX92" s="2">
        <f t="shared" si="302"/>
        <v>1.0322636720129132</v>
      </c>
      <c r="AY92" s="2">
        <f t="shared" si="303"/>
        <v>1.054906725303123</v>
      </c>
    </row>
    <row r="93" spans="1:51" x14ac:dyDescent="0.5">
      <c r="A93" t="s">
        <v>150</v>
      </c>
      <c r="B93">
        <v>50</v>
      </c>
      <c r="C93">
        <v>50</v>
      </c>
      <c r="D93">
        <v>50</v>
      </c>
      <c r="E93">
        <v>35</v>
      </c>
      <c r="F93">
        <v>65</v>
      </c>
      <c r="G93">
        <v>50</v>
      </c>
      <c r="H93">
        <v>100000</v>
      </c>
      <c r="I93">
        <v>49458</v>
      </c>
      <c r="J93">
        <f t="shared" si="259"/>
        <v>50542</v>
      </c>
      <c r="K93">
        <v>429002</v>
      </c>
      <c r="L93">
        <v>435264</v>
      </c>
      <c r="M93">
        <v>395400</v>
      </c>
      <c r="N93">
        <v>48572</v>
      </c>
      <c r="O93">
        <v>99446</v>
      </c>
      <c r="P93">
        <v>23244</v>
      </c>
      <c r="Q93">
        <v>1740</v>
      </c>
      <c r="R93">
        <v>5362</v>
      </c>
      <c r="S93">
        <v>33416</v>
      </c>
      <c r="T93">
        <v>142256</v>
      </c>
      <c r="U93">
        <v>44225</v>
      </c>
      <c r="V93">
        <v>92228</v>
      </c>
      <c r="W93">
        <v>3636</v>
      </c>
      <c r="X93">
        <v>2823</v>
      </c>
      <c r="Y93">
        <v>0.252</v>
      </c>
      <c r="Z93">
        <v>0.32700000000000001</v>
      </c>
      <c r="AA93">
        <v>0.36</v>
      </c>
      <c r="AB93">
        <v>0.68700000000000006</v>
      </c>
      <c r="AC93" s="9">
        <f t="shared" si="283"/>
        <v>0.49458000000000002</v>
      </c>
      <c r="AD93" s="6">
        <f t="shared" si="284"/>
        <v>4.2900200000000002</v>
      </c>
      <c r="AE93" s="12">
        <f t="shared" si="285"/>
        <v>-0.97955999999999643</v>
      </c>
      <c r="AF93" s="4">
        <f t="shared" si="286"/>
        <v>-13.732200000000034</v>
      </c>
      <c r="AG93" s="6">
        <f t="shared" si="287"/>
        <v>4.3526400000000001</v>
      </c>
      <c r="AH93">
        <f t="shared" si="288"/>
        <v>448418</v>
      </c>
      <c r="AI93" s="2">
        <f t="shared" si="289"/>
        <v>0.15409729315058718</v>
      </c>
      <c r="AJ93" s="9">
        <f t="shared" si="290"/>
        <v>5.183556413881691E-2</v>
      </c>
      <c r="AK93" s="9">
        <f t="shared" si="291"/>
        <v>3.8803081053838161E-3</v>
      </c>
      <c r="AL93" s="9">
        <f t="shared" si="292"/>
        <v>1.195759313854484E-2</v>
      </c>
      <c r="AM93" s="9">
        <f t="shared" si="293"/>
        <v>9.8624497678505327E-2</v>
      </c>
      <c r="AN93" s="2">
        <f t="shared" si="294"/>
        <v>0.20567417008237848</v>
      </c>
      <c r="AO93" s="7">
        <f t="shared" si="295"/>
        <v>0.45393057370578349</v>
      </c>
      <c r="AP93" s="4">
        <f t="shared" si="281"/>
        <v>-11.505095743738821</v>
      </c>
      <c r="AQ93" s="4">
        <f t="shared" si="282"/>
        <v>-0.84656450841050757</v>
      </c>
      <c r="AR93" s="6">
        <f t="shared" si="296"/>
        <v>0.30334388896074643</v>
      </c>
      <c r="AS93" s="2">
        <f t="shared" si="297"/>
        <v>0.97998773037559894</v>
      </c>
      <c r="AT93" s="2">
        <f t="shared" si="298"/>
        <v>1.0771677652831575</v>
      </c>
      <c r="AU93" s="2">
        <f t="shared" si="299"/>
        <v>1.0214250984419153</v>
      </c>
      <c r="AV93" s="2">
        <f t="shared" si="300"/>
        <v>0.45462699646962068</v>
      </c>
      <c r="AW93" s="2">
        <f t="shared" si="301"/>
        <v>1.3370467774980133</v>
      </c>
      <c r="AX93" s="2">
        <f t="shared" si="302"/>
        <v>0.97163844290333512</v>
      </c>
      <c r="AY93" s="2">
        <f t="shared" si="303"/>
        <v>0.98875669796378984</v>
      </c>
    </row>
    <row r="94" spans="1:51" x14ac:dyDescent="0.5">
      <c r="A94" t="s">
        <v>151</v>
      </c>
      <c r="B94">
        <v>50</v>
      </c>
      <c r="C94">
        <v>50</v>
      </c>
      <c r="D94">
        <v>50</v>
      </c>
      <c r="E94">
        <v>35</v>
      </c>
      <c r="F94">
        <v>80</v>
      </c>
      <c r="G94">
        <v>50</v>
      </c>
      <c r="H94">
        <v>100000</v>
      </c>
      <c r="I94">
        <v>49988</v>
      </c>
      <c r="J94">
        <f t="shared" si="259"/>
        <v>50012</v>
      </c>
      <c r="K94">
        <v>435316</v>
      </c>
      <c r="L94">
        <v>435561</v>
      </c>
      <c r="M94">
        <v>385209</v>
      </c>
      <c r="N94">
        <v>51166</v>
      </c>
      <c r="O94">
        <v>97399</v>
      </c>
      <c r="P94">
        <v>23138</v>
      </c>
      <c r="Q94">
        <v>1762</v>
      </c>
      <c r="R94">
        <v>5112</v>
      </c>
      <c r="S94">
        <v>33004</v>
      </c>
      <c r="T94">
        <v>139397</v>
      </c>
      <c r="U94">
        <v>56571</v>
      </c>
      <c r="V94">
        <v>89460</v>
      </c>
      <c r="W94">
        <v>3771</v>
      </c>
      <c r="X94">
        <v>3026</v>
      </c>
      <c r="Y94">
        <v>0.253</v>
      </c>
      <c r="Z94">
        <v>0.34899999999999998</v>
      </c>
      <c r="AA94">
        <v>0.36199999999999999</v>
      </c>
      <c r="AB94">
        <v>0.71099999999999997</v>
      </c>
      <c r="AC94" s="9">
        <f t="shared" si="283"/>
        <v>0.49987999999999999</v>
      </c>
      <c r="AD94" s="6">
        <f t="shared" si="284"/>
        <v>4.3531599999999999</v>
      </c>
      <c r="AE94" s="12">
        <f t="shared" si="285"/>
        <v>-0.12096000000000107</v>
      </c>
      <c r="AF94" s="4">
        <f t="shared" si="286"/>
        <v>-3.5035200000000746</v>
      </c>
      <c r="AG94" s="6">
        <f t="shared" si="287"/>
        <v>4.3556100000000004</v>
      </c>
      <c r="AH94">
        <f t="shared" si="288"/>
        <v>450616</v>
      </c>
      <c r="AI94" s="2">
        <f t="shared" si="289"/>
        <v>0.14954417952314167</v>
      </c>
      <c r="AJ94" s="9">
        <f t="shared" si="290"/>
        <v>5.1347488770926909E-2</v>
      </c>
      <c r="AK94" s="9">
        <f t="shared" si="291"/>
        <v>3.9102029222220251E-3</v>
      </c>
      <c r="AL94" s="9">
        <f t="shared" si="292"/>
        <v>1.1344470680135636E-2</v>
      </c>
      <c r="AM94" s="9">
        <f t="shared" si="293"/>
        <v>0.12554148099490475</v>
      </c>
      <c r="AN94" s="2">
        <f t="shared" si="294"/>
        <v>0.19852823690237364</v>
      </c>
      <c r="AO94" s="7">
        <f t="shared" si="295"/>
        <v>0.4397839402062953</v>
      </c>
      <c r="AP94" s="4">
        <f t="shared" si="281"/>
        <v>-4.6128444973537626</v>
      </c>
      <c r="AQ94" s="4">
        <f t="shared" si="282"/>
        <v>-0.17759351299920362</v>
      </c>
      <c r="AR94" s="6">
        <f t="shared" si="296"/>
        <v>0.31687214834803912</v>
      </c>
      <c r="AS94" s="2">
        <f t="shared" si="297"/>
        <v>0.95103202713983748</v>
      </c>
      <c r="AT94" s="2">
        <f t="shared" si="298"/>
        <v>1.0670253261671889</v>
      </c>
      <c r="AU94" s="2">
        <f t="shared" si="299"/>
        <v>1.0292944004155147</v>
      </c>
      <c r="AV94" s="2">
        <f t="shared" si="300"/>
        <v>0.43131611621930244</v>
      </c>
      <c r="AW94" s="2">
        <f t="shared" si="301"/>
        <v>1.7019588089942539</v>
      </c>
      <c r="AX94" s="2">
        <f t="shared" si="302"/>
        <v>0.93787988496030228</v>
      </c>
      <c r="AY94" s="2">
        <f t="shared" si="303"/>
        <v>0.957942341239442</v>
      </c>
    </row>
    <row r="95" spans="1:51" x14ac:dyDescent="0.5">
      <c r="A95" t="s">
        <v>152</v>
      </c>
      <c r="B95">
        <v>50</v>
      </c>
      <c r="C95">
        <v>50</v>
      </c>
      <c r="D95">
        <v>50</v>
      </c>
      <c r="E95">
        <v>65</v>
      </c>
      <c r="F95">
        <v>20</v>
      </c>
      <c r="G95">
        <v>50</v>
      </c>
      <c r="H95">
        <v>100000</v>
      </c>
      <c r="I95">
        <v>50374</v>
      </c>
      <c r="J95">
        <f t="shared" si="259"/>
        <v>49626</v>
      </c>
      <c r="K95">
        <v>437159</v>
      </c>
      <c r="L95">
        <v>434055</v>
      </c>
      <c r="M95">
        <v>443042</v>
      </c>
      <c r="N95">
        <v>56665</v>
      </c>
      <c r="O95">
        <v>121496</v>
      </c>
      <c r="P95">
        <v>22858</v>
      </c>
      <c r="Q95">
        <v>1809</v>
      </c>
      <c r="R95">
        <v>22277</v>
      </c>
      <c r="S95">
        <v>60815</v>
      </c>
      <c r="T95">
        <v>214803</v>
      </c>
      <c r="U95">
        <v>5664</v>
      </c>
      <c r="V95">
        <v>104276</v>
      </c>
      <c r="W95">
        <v>2642</v>
      </c>
      <c r="X95">
        <v>2116</v>
      </c>
      <c r="Y95">
        <v>0.27400000000000002</v>
      </c>
      <c r="Z95">
        <v>0.28499999999999998</v>
      </c>
      <c r="AA95">
        <v>0.48499999999999999</v>
      </c>
      <c r="AB95">
        <v>0.76900000000000002</v>
      </c>
      <c r="AC95" s="9">
        <f t="shared" si="283"/>
        <v>0.50373999999999997</v>
      </c>
      <c r="AD95" s="6">
        <f t="shared" si="284"/>
        <v>4.3715900000000003</v>
      </c>
      <c r="AE95" s="12">
        <f t="shared" si="285"/>
        <v>0.50435999999999481</v>
      </c>
      <c r="AF95" s="4">
        <f t="shared" si="286"/>
        <v>-0.51786000000001131</v>
      </c>
      <c r="AG95" s="6">
        <f t="shared" si="287"/>
        <v>4.3405500000000004</v>
      </c>
      <c r="AH95">
        <f t="shared" si="288"/>
        <v>457680</v>
      </c>
      <c r="AI95" s="2">
        <f t="shared" si="289"/>
        <v>0.162891102954029</v>
      </c>
      <c r="AJ95" s="9">
        <f t="shared" si="290"/>
        <v>4.994319174969411E-2</v>
      </c>
      <c r="AK95" s="9">
        <f t="shared" si="291"/>
        <v>3.9525432616675403E-3</v>
      </c>
      <c r="AL95" s="9">
        <f t="shared" si="292"/>
        <v>4.867374584862786E-2</v>
      </c>
      <c r="AM95" s="9">
        <f t="shared" si="293"/>
        <v>1.2375458835867855E-2</v>
      </c>
      <c r="AN95" s="2">
        <f t="shared" si="294"/>
        <v>0.22783604264988638</v>
      </c>
      <c r="AO95" s="7">
        <f t="shared" si="295"/>
        <v>0.47432791470022717</v>
      </c>
      <c r="AP95" s="4">
        <f t="shared" si="281"/>
        <v>2.8115949646858098</v>
      </c>
      <c r="AQ95" s="4">
        <f t="shared" si="282"/>
        <v>0.54303237246842206</v>
      </c>
      <c r="AR95" s="6">
        <f t="shared" si="296"/>
        <v>0.3185216526830974</v>
      </c>
      <c r="AS95" s="2">
        <f t="shared" si="297"/>
        <v>1.0359123059111868</v>
      </c>
      <c r="AT95" s="2">
        <f t="shared" si="298"/>
        <v>1.0378433637580566</v>
      </c>
      <c r="AU95" s="2">
        <f t="shared" si="299"/>
        <v>1.0404397744970715</v>
      </c>
      <c r="AV95" s="2">
        <f t="shared" si="300"/>
        <v>1.8505729895389493</v>
      </c>
      <c r="AW95" s="2">
        <f t="shared" si="301"/>
        <v>0.16777340058546797</v>
      </c>
      <c r="AX95" s="2">
        <f t="shared" si="302"/>
        <v>1.07633475622596</v>
      </c>
      <c r="AY95" s="2">
        <f t="shared" si="303"/>
        <v>1.0331864162889086</v>
      </c>
    </row>
    <row r="96" spans="1:51" x14ac:dyDescent="0.5">
      <c r="A96" t="s">
        <v>153</v>
      </c>
      <c r="B96">
        <v>50</v>
      </c>
      <c r="C96">
        <v>50</v>
      </c>
      <c r="D96">
        <v>50</v>
      </c>
      <c r="E96">
        <v>65</v>
      </c>
      <c r="F96">
        <v>35</v>
      </c>
      <c r="G96">
        <v>50</v>
      </c>
      <c r="H96">
        <v>100000</v>
      </c>
      <c r="I96">
        <v>50944</v>
      </c>
      <c r="J96">
        <f t="shared" si="259"/>
        <v>49056</v>
      </c>
      <c r="K96">
        <v>442123</v>
      </c>
      <c r="L96">
        <v>433420</v>
      </c>
      <c r="M96">
        <v>427334</v>
      </c>
      <c r="N96">
        <v>59276</v>
      </c>
      <c r="O96">
        <v>117234</v>
      </c>
      <c r="P96">
        <v>22102</v>
      </c>
      <c r="Q96">
        <v>1769</v>
      </c>
      <c r="R96">
        <v>21310</v>
      </c>
      <c r="S96">
        <v>57972</v>
      </c>
      <c r="T96">
        <v>206804</v>
      </c>
      <c r="U96">
        <v>23489</v>
      </c>
      <c r="V96">
        <v>100265</v>
      </c>
      <c r="W96">
        <v>2906</v>
      </c>
      <c r="X96">
        <v>2409</v>
      </c>
      <c r="Y96">
        <v>0.27400000000000002</v>
      </c>
      <c r="Z96">
        <v>0.313</v>
      </c>
      <c r="AA96">
        <v>0.48399999999999999</v>
      </c>
      <c r="AB96">
        <v>0.79700000000000004</v>
      </c>
      <c r="AC96" s="9">
        <f t="shared" si="283"/>
        <v>0.50944</v>
      </c>
      <c r="AD96" s="6">
        <f t="shared" si="284"/>
        <v>4.4212300000000004</v>
      </c>
      <c r="AE96" s="12">
        <f t="shared" si="285"/>
        <v>1.427760000000001</v>
      </c>
      <c r="AF96" s="4">
        <f t="shared" si="286"/>
        <v>7.5238200000000095</v>
      </c>
      <c r="AG96" s="6">
        <f t="shared" si="287"/>
        <v>4.3342000000000001</v>
      </c>
      <c r="AH96">
        <f t="shared" si="288"/>
        <v>459839</v>
      </c>
      <c r="AI96" s="2">
        <f t="shared" si="289"/>
        <v>0.15669179865126706</v>
      </c>
      <c r="AJ96" s="9">
        <f t="shared" si="290"/>
        <v>4.8064648714006425E-2</v>
      </c>
      <c r="AK96" s="9">
        <f t="shared" si="291"/>
        <v>3.8469986234312445E-3</v>
      </c>
      <c r="AL96" s="9">
        <f t="shared" si="292"/>
        <v>4.6342306763889098E-2</v>
      </c>
      <c r="AM96" s="9">
        <f t="shared" si="293"/>
        <v>5.1080921800891181E-2</v>
      </c>
      <c r="AN96" s="2">
        <f t="shared" si="294"/>
        <v>0.21804370660165839</v>
      </c>
      <c r="AO96" s="7">
        <f t="shared" si="295"/>
        <v>0.4559296188448565</v>
      </c>
      <c r="AP96" s="4">
        <f t="shared" si="281"/>
        <v>10.455142127450472</v>
      </c>
      <c r="AQ96" s="4">
        <f t="shared" si="282"/>
        <v>1.2849251403256334</v>
      </c>
      <c r="AR96" s="6">
        <f t="shared" si="296"/>
        <v>0.33376986293028649</v>
      </c>
      <c r="AS96" s="2">
        <f t="shared" si="297"/>
        <v>0.99648758903679957</v>
      </c>
      <c r="AT96" s="2">
        <f t="shared" si="298"/>
        <v>0.9988063427984516</v>
      </c>
      <c r="AU96" s="2">
        <f t="shared" si="299"/>
        <v>1.0126569439659219</v>
      </c>
      <c r="AV96" s="2">
        <f t="shared" si="300"/>
        <v>1.7619318109785245</v>
      </c>
      <c r="AW96" s="2">
        <f t="shared" si="301"/>
        <v>0.69250118878318667</v>
      </c>
      <c r="AX96" s="2">
        <f t="shared" si="302"/>
        <v>1.0300741579871262</v>
      </c>
      <c r="AY96" s="2">
        <f t="shared" si="303"/>
        <v>0.99311104064367173</v>
      </c>
    </row>
    <row r="97" spans="1:51" x14ac:dyDescent="0.5">
      <c r="A97" t="s">
        <v>154</v>
      </c>
      <c r="B97">
        <v>50</v>
      </c>
      <c r="C97">
        <v>50</v>
      </c>
      <c r="D97">
        <v>50</v>
      </c>
      <c r="E97">
        <v>65</v>
      </c>
      <c r="F97">
        <v>65</v>
      </c>
      <c r="G97">
        <v>50</v>
      </c>
      <c r="H97">
        <v>100000</v>
      </c>
      <c r="I97">
        <v>51581</v>
      </c>
      <c r="J97">
        <f t="shared" si="259"/>
        <v>48419</v>
      </c>
      <c r="K97">
        <v>452801</v>
      </c>
      <c r="L97">
        <v>436546</v>
      </c>
      <c r="M97">
        <v>405875</v>
      </c>
      <c r="N97">
        <v>63768</v>
      </c>
      <c r="O97">
        <v>111255</v>
      </c>
      <c r="P97">
        <v>21104</v>
      </c>
      <c r="Q97">
        <v>1699</v>
      </c>
      <c r="R97">
        <v>20355</v>
      </c>
      <c r="S97">
        <v>56234</v>
      </c>
      <c r="T97">
        <v>196822</v>
      </c>
      <c r="U97">
        <v>51490</v>
      </c>
      <c r="V97">
        <v>95447</v>
      </c>
      <c r="W97">
        <v>3433</v>
      </c>
      <c r="X97">
        <v>2681</v>
      </c>
      <c r="Y97">
        <v>0.27400000000000002</v>
      </c>
      <c r="Z97">
        <v>0.35599999999999998</v>
      </c>
      <c r="AA97">
        <v>0.48499999999999999</v>
      </c>
      <c r="AB97">
        <v>0.84099999999999997</v>
      </c>
      <c r="AC97" s="9">
        <f t="shared" si="283"/>
        <v>0.51580999999999999</v>
      </c>
      <c r="AD97" s="6">
        <f t="shared" si="284"/>
        <v>4.5280100000000001</v>
      </c>
      <c r="AE97" s="12">
        <f t="shared" si="285"/>
        <v>2.4596999999999989</v>
      </c>
      <c r="AF97" s="4">
        <f t="shared" si="286"/>
        <v>24.822179999999953</v>
      </c>
      <c r="AG97" s="6">
        <f t="shared" si="287"/>
        <v>4.3654599999999997</v>
      </c>
      <c r="AH97">
        <f t="shared" si="288"/>
        <v>466512</v>
      </c>
      <c r="AI97" s="2">
        <f t="shared" si="289"/>
        <v>0.14597052165860686</v>
      </c>
      <c r="AJ97" s="9">
        <f t="shared" si="290"/>
        <v>4.5237850258942967E-2</v>
      </c>
      <c r="AK97" s="9">
        <f t="shared" si="291"/>
        <v>3.6419213224954555E-3</v>
      </c>
      <c r="AL97" s="9">
        <f t="shared" si="292"/>
        <v>4.363231813972631E-2</v>
      </c>
      <c r="AM97" s="9">
        <f t="shared" si="293"/>
        <v>0.11037229481771102</v>
      </c>
      <c r="AN97" s="2">
        <f t="shared" si="294"/>
        <v>0.20459709503721232</v>
      </c>
      <c r="AO97" s="7">
        <f t="shared" si="295"/>
        <v>0.42654799876530503</v>
      </c>
      <c r="AP97" s="4">
        <f t="shared" si="281"/>
        <v>22.528547057485866</v>
      </c>
      <c r="AQ97" s="4">
        <f t="shared" si="282"/>
        <v>2.4567857451295763</v>
      </c>
      <c r="AR97" s="6">
        <f t="shared" si="296"/>
        <v>0.35770087371814657</v>
      </c>
      <c r="AS97" s="2">
        <f t="shared" si="297"/>
        <v>0.92830521093040541</v>
      </c>
      <c r="AT97" s="2">
        <f t="shared" si="298"/>
        <v>0.94006412159695807</v>
      </c>
      <c r="AU97" s="2">
        <f t="shared" si="299"/>
        <v>0.95867383319028399</v>
      </c>
      <c r="AV97" s="2">
        <f t="shared" si="300"/>
        <v>1.6588982009204474</v>
      </c>
      <c r="AW97" s="2">
        <f t="shared" si="301"/>
        <v>1.4963110037035343</v>
      </c>
      <c r="AX97" s="2">
        <f t="shared" si="302"/>
        <v>0.96655016410120786</v>
      </c>
      <c r="AY97" s="2">
        <f t="shared" si="303"/>
        <v>0.92911166423349512</v>
      </c>
    </row>
    <row r="98" spans="1:51" x14ac:dyDescent="0.5">
      <c r="A98" t="s">
        <v>155</v>
      </c>
      <c r="B98">
        <v>50</v>
      </c>
      <c r="C98">
        <v>50</v>
      </c>
      <c r="D98">
        <v>50</v>
      </c>
      <c r="E98">
        <v>65</v>
      </c>
      <c r="F98">
        <v>80</v>
      </c>
      <c r="G98">
        <v>50</v>
      </c>
      <c r="H98">
        <v>100000</v>
      </c>
      <c r="I98">
        <v>51933</v>
      </c>
      <c r="J98">
        <f t="shared" si="259"/>
        <v>48067</v>
      </c>
      <c r="K98">
        <v>456201</v>
      </c>
      <c r="L98">
        <v>436185</v>
      </c>
      <c r="M98">
        <v>394038</v>
      </c>
      <c r="N98">
        <v>65766</v>
      </c>
      <c r="O98">
        <v>107823</v>
      </c>
      <c r="P98">
        <v>20416</v>
      </c>
      <c r="Q98">
        <v>1591</v>
      </c>
      <c r="R98">
        <v>19746</v>
      </c>
      <c r="S98">
        <v>55128</v>
      </c>
      <c r="T98">
        <v>190659</v>
      </c>
      <c r="U98">
        <v>64560</v>
      </c>
      <c r="V98">
        <v>92883</v>
      </c>
      <c r="W98">
        <v>3704</v>
      </c>
      <c r="X98">
        <v>2856</v>
      </c>
      <c r="Y98">
        <v>0.27400000000000002</v>
      </c>
      <c r="Z98">
        <v>0.376</v>
      </c>
      <c r="AA98">
        <v>0.48399999999999999</v>
      </c>
      <c r="AB98" s="6">
        <v>0.86</v>
      </c>
      <c r="AC98" s="9">
        <f t="shared" si="283"/>
        <v>0.51932999999999996</v>
      </c>
      <c r="AD98" s="6">
        <f t="shared" si="284"/>
        <v>4.5620099999999999</v>
      </c>
      <c r="AE98" s="12">
        <f t="shared" si="285"/>
        <v>3.0299399999999936</v>
      </c>
      <c r="AF98" s="4">
        <f t="shared" si="286"/>
        <v>30.33017999999992</v>
      </c>
      <c r="AG98" s="6">
        <f t="shared" si="287"/>
        <v>4.3618499999999996</v>
      </c>
      <c r="AH98">
        <f t="shared" si="288"/>
        <v>467770</v>
      </c>
      <c r="AI98" s="2">
        <f t="shared" si="289"/>
        <v>0.14124462877054964</v>
      </c>
      <c r="AJ98" s="9">
        <f t="shared" si="290"/>
        <v>4.364538127712337E-2</v>
      </c>
      <c r="AK98" s="9">
        <f t="shared" si="291"/>
        <v>3.4012442012099965E-3</v>
      </c>
      <c r="AL98" s="9">
        <f t="shared" si="292"/>
        <v>4.2213053423691131E-2</v>
      </c>
      <c r="AM98" s="9">
        <f t="shared" si="293"/>
        <v>0.13801654659341128</v>
      </c>
      <c r="AN98" s="2">
        <f t="shared" si="294"/>
        <v>0.19856553434380145</v>
      </c>
      <c r="AO98" s="7">
        <f t="shared" si="295"/>
        <v>0.4129136113902131</v>
      </c>
      <c r="AP98" s="4">
        <f t="shared" si="281"/>
        <v>27.516214303563629</v>
      </c>
      <c r="AQ98" s="4">
        <f t="shared" si="282"/>
        <v>2.9408953057232976</v>
      </c>
      <c r="AR98" s="6">
        <f t="shared" si="296"/>
        <v>0.36823374735446907</v>
      </c>
      <c r="AS98" s="2">
        <f t="shared" si="297"/>
        <v>0.89825071126544653</v>
      </c>
      <c r="AT98" s="2">
        <f t="shared" si="298"/>
        <v>0.90697185602740449</v>
      </c>
      <c r="AU98" s="2">
        <f t="shared" si="299"/>
        <v>0.89531967531796719</v>
      </c>
      <c r="AV98" s="2">
        <f t="shared" si="300"/>
        <v>1.6049378388667754</v>
      </c>
      <c r="AW98" s="2">
        <f t="shared" si="301"/>
        <v>1.8710825728681331</v>
      </c>
      <c r="AX98" s="2">
        <f t="shared" si="302"/>
        <v>0.93805608417821407</v>
      </c>
      <c r="AY98" s="2">
        <f t="shared" si="303"/>
        <v>0.89941308779767892</v>
      </c>
    </row>
    <row r="99" spans="1:51" x14ac:dyDescent="0.5">
      <c r="A99" t="s">
        <v>156</v>
      </c>
      <c r="B99">
        <v>50</v>
      </c>
      <c r="C99">
        <v>50</v>
      </c>
      <c r="D99">
        <v>50</v>
      </c>
      <c r="E99">
        <v>80</v>
      </c>
      <c r="F99">
        <v>20</v>
      </c>
      <c r="G99">
        <v>50</v>
      </c>
      <c r="H99">
        <v>100000</v>
      </c>
      <c r="I99">
        <v>52225</v>
      </c>
      <c r="J99">
        <f t="shared" si="259"/>
        <v>47775</v>
      </c>
      <c r="K99">
        <v>456145</v>
      </c>
      <c r="L99">
        <v>435972</v>
      </c>
      <c r="M99">
        <v>433987</v>
      </c>
      <c r="N99">
        <v>68575</v>
      </c>
      <c r="O99">
        <v>126656</v>
      </c>
      <c r="P99">
        <v>21880</v>
      </c>
      <c r="Q99">
        <v>1658</v>
      </c>
      <c r="R99">
        <v>32551</v>
      </c>
      <c r="S99">
        <v>73191</v>
      </c>
      <c r="T99">
        <v>249505</v>
      </c>
      <c r="U99">
        <v>21724</v>
      </c>
      <c r="V99">
        <v>102213</v>
      </c>
      <c r="W99">
        <v>2614</v>
      </c>
      <c r="X99">
        <v>2087</v>
      </c>
      <c r="Y99">
        <v>0.29199999999999998</v>
      </c>
      <c r="Z99">
        <v>0.32600000000000001</v>
      </c>
      <c r="AA99">
        <v>0.57499999999999996</v>
      </c>
      <c r="AB99">
        <v>0.90100000000000002</v>
      </c>
      <c r="AC99" s="9">
        <f t="shared" si="283"/>
        <v>0.52224999999999999</v>
      </c>
      <c r="AD99" s="6">
        <f t="shared" si="284"/>
        <v>4.5614499999999998</v>
      </c>
      <c r="AE99" s="12">
        <f t="shared" si="285"/>
        <v>3.5029799999999991</v>
      </c>
      <c r="AF99" s="4">
        <f t="shared" si="286"/>
        <v>30.239459999999902</v>
      </c>
      <c r="AG99" s="6">
        <f t="shared" si="287"/>
        <v>4.3597200000000003</v>
      </c>
      <c r="AH99">
        <f t="shared" si="288"/>
        <v>464825</v>
      </c>
      <c r="AI99" s="2">
        <f t="shared" si="289"/>
        <v>0.15181412359490132</v>
      </c>
      <c r="AJ99" s="9">
        <f t="shared" si="290"/>
        <v>4.7071478513419029E-2</v>
      </c>
      <c r="AK99" s="9">
        <f t="shared" si="291"/>
        <v>3.5669337922874201E-3</v>
      </c>
      <c r="AL99" s="9">
        <f t="shared" si="292"/>
        <v>7.0028505351476367E-2</v>
      </c>
      <c r="AM99" s="9">
        <f t="shared" si="293"/>
        <v>4.6735868337546387E-2</v>
      </c>
      <c r="AN99" s="2">
        <f t="shared" si="294"/>
        <v>0.21989565965686012</v>
      </c>
      <c r="AO99" s="7">
        <f t="shared" si="295"/>
        <v>0.44088743075350934</v>
      </c>
      <c r="AP99" s="4">
        <f t="shared" si="281"/>
        <v>32.459837323347529</v>
      </c>
      <c r="AQ99" s="4">
        <f t="shared" si="282"/>
        <v>3.4207298756278184</v>
      </c>
      <c r="AR99" s="6">
        <f t="shared" si="296"/>
        <v>0.37077117194643144</v>
      </c>
      <c r="AS99" s="2">
        <f t="shared" si="297"/>
        <v>0.96546782476795967</v>
      </c>
      <c r="AT99" s="2">
        <f t="shared" si="298"/>
        <v>0.97816779196397874</v>
      </c>
      <c r="AU99" s="2">
        <f t="shared" si="299"/>
        <v>0.93893464152187323</v>
      </c>
      <c r="AV99" s="2">
        <f t="shared" si="300"/>
        <v>2.6624797052655693</v>
      </c>
      <c r="AW99" s="2">
        <f t="shared" si="301"/>
        <v>0.63359554294497322</v>
      </c>
      <c r="AX99" s="2">
        <f t="shared" si="302"/>
        <v>1.0388230873357438</v>
      </c>
      <c r="AY99" s="2">
        <f t="shared" si="303"/>
        <v>0.96034597680157274</v>
      </c>
    </row>
    <row r="100" spans="1:51" x14ac:dyDescent="0.5">
      <c r="A100" t="s">
        <v>157</v>
      </c>
      <c r="B100">
        <v>50</v>
      </c>
      <c r="C100">
        <v>50</v>
      </c>
      <c r="D100">
        <v>50</v>
      </c>
      <c r="E100">
        <v>80</v>
      </c>
      <c r="F100">
        <v>35</v>
      </c>
      <c r="G100">
        <v>50</v>
      </c>
      <c r="H100">
        <v>100000</v>
      </c>
      <c r="I100">
        <v>52616</v>
      </c>
      <c r="J100">
        <f t="shared" si="259"/>
        <v>47384</v>
      </c>
      <c r="K100">
        <v>459356</v>
      </c>
      <c r="L100">
        <v>434793</v>
      </c>
      <c r="M100">
        <v>422312</v>
      </c>
      <c r="N100">
        <v>70653</v>
      </c>
      <c r="O100">
        <v>123604</v>
      </c>
      <c r="P100">
        <v>21456</v>
      </c>
      <c r="Q100">
        <v>1650</v>
      </c>
      <c r="R100">
        <v>32071</v>
      </c>
      <c r="S100">
        <v>72058</v>
      </c>
      <c r="T100">
        <v>244573</v>
      </c>
      <c r="U100">
        <v>34395</v>
      </c>
      <c r="V100">
        <v>99295</v>
      </c>
      <c r="W100">
        <v>2791</v>
      </c>
      <c r="X100">
        <v>2217</v>
      </c>
      <c r="Y100">
        <v>0.29299999999999998</v>
      </c>
      <c r="Z100">
        <v>0.34699999999999998</v>
      </c>
      <c r="AA100">
        <v>0.57899999999999996</v>
      </c>
      <c r="AB100">
        <v>0.92600000000000005</v>
      </c>
      <c r="AC100" s="9">
        <f t="shared" si="283"/>
        <v>0.52615999999999996</v>
      </c>
      <c r="AD100" s="6">
        <f t="shared" si="284"/>
        <v>4.5935600000000001</v>
      </c>
      <c r="AE100" s="12">
        <f t="shared" si="285"/>
        <v>4.1363999999999939</v>
      </c>
      <c r="AF100" s="4">
        <f t="shared" si="286"/>
        <v>35.441279999999949</v>
      </c>
      <c r="AG100" s="6">
        <f t="shared" si="287"/>
        <v>4.3479299999999999</v>
      </c>
      <c r="AH100">
        <f t="shared" si="288"/>
        <v>465841</v>
      </c>
      <c r="AI100" s="2">
        <f t="shared" si="289"/>
        <v>0.1468891746325463</v>
      </c>
      <c r="AJ100" s="9">
        <f t="shared" si="290"/>
        <v>4.6058633739838269E-2</v>
      </c>
      <c r="AK100" s="9">
        <f t="shared" si="291"/>
        <v>3.5419810622079207E-3</v>
      </c>
      <c r="AL100" s="9">
        <f t="shared" si="292"/>
        <v>6.8845378573375901E-2</v>
      </c>
      <c r="AM100" s="9">
        <f t="shared" si="293"/>
        <v>7.3834205233116026E-2</v>
      </c>
      <c r="AN100" s="2">
        <f t="shared" si="294"/>
        <v>0.21315212701329422</v>
      </c>
      <c r="AO100" s="7">
        <f t="shared" si="295"/>
        <v>0.42767849974562133</v>
      </c>
      <c r="AP100" s="4">
        <f t="shared" si="281"/>
        <v>38.35014837830613</v>
      </c>
      <c r="AQ100" s="4">
        <f t="shared" si="282"/>
        <v>3.9924512347098173</v>
      </c>
      <c r="AR100" s="6">
        <f t="shared" si="296"/>
        <v>0.38224756944966204</v>
      </c>
      <c r="AS100" s="2">
        <f t="shared" si="297"/>
        <v>0.93414742025496467</v>
      </c>
      <c r="AT100" s="2">
        <f t="shared" si="298"/>
        <v>0.95712039411151251</v>
      </c>
      <c r="AU100" s="2">
        <f t="shared" si="299"/>
        <v>0.93236625981463606</v>
      </c>
      <c r="AV100" s="2">
        <f t="shared" si="300"/>
        <v>2.6174972938941075</v>
      </c>
      <c r="AW100" s="2">
        <f t="shared" si="301"/>
        <v>1.0009661747314549</v>
      </c>
      <c r="AX100" s="2">
        <f t="shared" si="302"/>
        <v>1.0069655353891975</v>
      </c>
      <c r="AY100" s="2">
        <f t="shared" si="303"/>
        <v>0.93157413422580471</v>
      </c>
    </row>
    <row r="101" spans="1:51" x14ac:dyDescent="0.5">
      <c r="A101" t="s">
        <v>158</v>
      </c>
      <c r="B101">
        <v>50</v>
      </c>
      <c r="C101">
        <v>50</v>
      </c>
      <c r="D101">
        <v>50</v>
      </c>
      <c r="E101">
        <v>80</v>
      </c>
      <c r="F101">
        <v>65</v>
      </c>
      <c r="G101">
        <v>50</v>
      </c>
      <c r="H101">
        <v>100000</v>
      </c>
      <c r="I101">
        <v>52979</v>
      </c>
      <c r="J101">
        <f t="shared" si="259"/>
        <v>47021</v>
      </c>
      <c r="K101">
        <v>467008</v>
      </c>
      <c r="L101">
        <v>436470</v>
      </c>
      <c r="M101">
        <v>398495</v>
      </c>
      <c r="N101">
        <v>73470</v>
      </c>
      <c r="O101">
        <v>116364</v>
      </c>
      <c r="P101">
        <v>20245</v>
      </c>
      <c r="Q101">
        <v>1607</v>
      </c>
      <c r="R101">
        <v>29576</v>
      </c>
      <c r="S101">
        <v>67949</v>
      </c>
      <c r="T101">
        <v>228551</v>
      </c>
      <c r="U101">
        <v>60723</v>
      </c>
      <c r="V101">
        <v>94027</v>
      </c>
      <c r="W101">
        <v>3376</v>
      </c>
      <c r="X101">
        <v>2734</v>
      </c>
      <c r="Y101">
        <v>0.29199999999999998</v>
      </c>
      <c r="Z101">
        <v>0.38600000000000001</v>
      </c>
      <c r="AA101">
        <v>0.57399999999999995</v>
      </c>
      <c r="AB101">
        <v>0.96</v>
      </c>
      <c r="AC101" s="9">
        <f t="shared" si="283"/>
        <v>0.52978999999999998</v>
      </c>
      <c r="AD101" s="6">
        <f t="shared" si="284"/>
        <v>4.6700799999999996</v>
      </c>
      <c r="AE101" s="12">
        <f t="shared" si="285"/>
        <v>4.7244599999999979</v>
      </c>
      <c r="AF101" s="4">
        <f t="shared" si="286"/>
        <v>47.83751999999987</v>
      </c>
      <c r="AG101" s="6">
        <f t="shared" si="287"/>
        <v>4.3647</v>
      </c>
      <c r="AH101">
        <f t="shared" si="288"/>
        <v>468402</v>
      </c>
      <c r="AI101" s="2">
        <f t="shared" si="289"/>
        <v>0.13863305451300378</v>
      </c>
      <c r="AJ101" s="9">
        <f t="shared" si="290"/>
        <v>4.322142091622154E-2</v>
      </c>
      <c r="AK101" s="9">
        <f t="shared" si="291"/>
        <v>3.4308137027595953E-3</v>
      </c>
      <c r="AL101" s="9">
        <f t="shared" si="292"/>
        <v>6.3142343542512622E-2</v>
      </c>
      <c r="AM101" s="9">
        <f t="shared" si="293"/>
        <v>0.1296386437291045</v>
      </c>
      <c r="AN101" s="2">
        <f t="shared" si="294"/>
        <v>0.20073996268162816</v>
      </c>
      <c r="AO101" s="7">
        <f t="shared" si="295"/>
        <v>0.40119376091476977</v>
      </c>
      <c r="AP101" s="4">
        <f t="shared" si="281"/>
        <v>47.020732612379561</v>
      </c>
      <c r="AQ101" s="4">
        <f t="shared" si="282"/>
        <v>4.8340295751552436</v>
      </c>
      <c r="AR101" s="6">
        <f t="shared" si="296"/>
        <v>0.40018377376697795</v>
      </c>
      <c r="AS101" s="2">
        <f t="shared" si="297"/>
        <v>0.88164230318096004</v>
      </c>
      <c r="AT101" s="2">
        <f t="shared" si="298"/>
        <v>0.89816175736042991</v>
      </c>
      <c r="AU101" s="2">
        <f t="shared" si="299"/>
        <v>0.90310334357597777</v>
      </c>
      <c r="AV101" s="2">
        <f t="shared" si="300"/>
        <v>2.4006682333296734</v>
      </c>
      <c r="AW101" s="2">
        <f t="shared" si="301"/>
        <v>1.7575038141359189</v>
      </c>
      <c r="AX101" s="2">
        <f t="shared" si="302"/>
        <v>0.94832843954264623</v>
      </c>
      <c r="AY101" s="2">
        <f t="shared" si="303"/>
        <v>0.87388477724100877</v>
      </c>
    </row>
    <row r="102" spans="1:51" x14ac:dyDescent="0.5">
      <c r="A102" t="s">
        <v>159</v>
      </c>
      <c r="B102">
        <v>50</v>
      </c>
      <c r="C102">
        <v>50</v>
      </c>
      <c r="D102">
        <v>50</v>
      </c>
      <c r="E102">
        <v>80</v>
      </c>
      <c r="F102">
        <v>80</v>
      </c>
      <c r="G102">
        <v>50</v>
      </c>
      <c r="H102">
        <v>100000</v>
      </c>
      <c r="I102">
        <v>53582</v>
      </c>
      <c r="J102">
        <f t="shared" si="259"/>
        <v>46418</v>
      </c>
      <c r="K102">
        <v>470521</v>
      </c>
      <c r="L102">
        <v>434618</v>
      </c>
      <c r="M102">
        <v>385825</v>
      </c>
      <c r="N102">
        <v>75762</v>
      </c>
      <c r="O102">
        <v>112618</v>
      </c>
      <c r="P102">
        <v>19610</v>
      </c>
      <c r="Q102">
        <v>1520</v>
      </c>
      <c r="R102">
        <v>29172</v>
      </c>
      <c r="S102">
        <v>66504</v>
      </c>
      <c r="T102">
        <v>222784</v>
      </c>
      <c r="U102">
        <v>74131</v>
      </c>
      <c r="V102">
        <v>91856</v>
      </c>
      <c r="W102">
        <v>3570</v>
      </c>
      <c r="X102">
        <v>2876</v>
      </c>
      <c r="Y102">
        <v>0.29199999999999998</v>
      </c>
      <c r="Z102">
        <v>0.40600000000000003</v>
      </c>
      <c r="AA102">
        <v>0.57699999999999996</v>
      </c>
      <c r="AB102">
        <v>0.98399999999999999</v>
      </c>
      <c r="AC102" s="9">
        <f t="shared" si="283"/>
        <v>0.53581999999999996</v>
      </c>
      <c r="AD102" s="6">
        <f t="shared" si="284"/>
        <v>4.7052100000000001</v>
      </c>
      <c r="AE102" s="12">
        <f t="shared" si="285"/>
        <v>5.7013199999999946</v>
      </c>
      <c r="AF102" s="4">
        <f t="shared" si="286"/>
        <v>53.528579999999955</v>
      </c>
      <c r="AG102" s="6">
        <f t="shared" si="287"/>
        <v>4.3461800000000004</v>
      </c>
      <c r="AH102">
        <f t="shared" si="288"/>
        <v>469155</v>
      </c>
      <c r="AI102" s="2">
        <f t="shared" si="289"/>
        <v>0.13282603830290629</v>
      </c>
      <c r="AJ102" s="9">
        <f t="shared" si="290"/>
        <v>4.1798552717119075E-2</v>
      </c>
      <c r="AK102" s="9">
        <f t="shared" si="291"/>
        <v>3.2398674212147371E-3</v>
      </c>
      <c r="AL102" s="9">
        <f t="shared" si="292"/>
        <v>6.217987658662915E-2</v>
      </c>
      <c r="AM102" s="9">
        <f t="shared" si="293"/>
        <v>0.15800961302767741</v>
      </c>
      <c r="AN102" s="2">
        <f t="shared" si="294"/>
        <v>0.19579030384414534</v>
      </c>
      <c r="AO102" s="7">
        <f t="shared" si="295"/>
        <v>0.38615574810030795</v>
      </c>
      <c r="AP102" s="4">
        <f t="shared" si="281"/>
        <v>52.562019363188938</v>
      </c>
      <c r="AQ102" s="4">
        <f t="shared" si="282"/>
        <v>5.3718741749864956</v>
      </c>
      <c r="AR102" s="6">
        <f t="shared" si="296"/>
        <v>0.41144551374279287</v>
      </c>
      <c r="AS102" s="2">
        <f t="shared" si="297"/>
        <v>0.84471235769238762</v>
      </c>
      <c r="AT102" s="2">
        <f t="shared" si="298"/>
        <v>0.86859387701065405</v>
      </c>
      <c r="AU102" s="2">
        <f t="shared" si="299"/>
        <v>0.85283998326356703</v>
      </c>
      <c r="AV102" s="2">
        <f t="shared" si="300"/>
        <v>2.3640752955800108</v>
      </c>
      <c r="AW102" s="2">
        <f t="shared" si="301"/>
        <v>2.1421274519546527</v>
      </c>
      <c r="AX102" s="2">
        <f t="shared" si="302"/>
        <v>0.92494544106584042</v>
      </c>
      <c r="AY102" s="2">
        <f t="shared" si="303"/>
        <v>0.8411288080341367</v>
      </c>
    </row>
    <row r="103" spans="1:51" x14ac:dyDescent="0.5">
      <c r="A103" t="s">
        <v>183</v>
      </c>
      <c r="B103">
        <v>50</v>
      </c>
      <c r="C103">
        <v>50</v>
      </c>
      <c r="D103">
        <v>50</v>
      </c>
      <c r="E103">
        <v>50</v>
      </c>
      <c r="F103">
        <v>50</v>
      </c>
      <c r="G103">
        <v>20</v>
      </c>
      <c r="H103">
        <v>100000</v>
      </c>
      <c r="I103">
        <v>49424</v>
      </c>
      <c r="J103">
        <f t="shared" si="259"/>
        <v>50576</v>
      </c>
      <c r="K103">
        <v>430660</v>
      </c>
      <c r="L103">
        <v>435224</v>
      </c>
      <c r="M103">
        <v>387671</v>
      </c>
      <c r="N103">
        <v>45471</v>
      </c>
      <c r="O103">
        <v>99825</v>
      </c>
      <c r="P103">
        <v>21565</v>
      </c>
      <c r="Q103">
        <v>658</v>
      </c>
      <c r="R103">
        <v>11359</v>
      </c>
      <c r="S103">
        <v>49497</v>
      </c>
      <c r="T103">
        <v>156783</v>
      </c>
      <c r="U103">
        <v>31690</v>
      </c>
      <c r="V103">
        <v>92261</v>
      </c>
      <c r="W103">
        <v>1678</v>
      </c>
      <c r="X103">
        <v>1372</v>
      </c>
      <c r="Y103">
        <v>0.25700000000000001</v>
      </c>
      <c r="Z103">
        <v>0.314</v>
      </c>
      <c r="AA103">
        <v>0.40400000000000003</v>
      </c>
      <c r="AB103">
        <v>0.71799999999999997</v>
      </c>
      <c r="AC103" s="9">
        <f t="shared" ref="AC103:AC110" si="304">I103/H103</f>
        <v>0.49424000000000001</v>
      </c>
      <c r="AD103" s="6">
        <f t="shared" ref="AD103:AD110" si="305">K103/H103</f>
        <v>4.3066000000000004</v>
      </c>
      <c r="AE103" s="12">
        <f t="shared" ref="AE103:AE110" si="306">(AC103-$AC$7)*162</f>
        <v>-1.0346399999999976</v>
      </c>
      <c r="AF103" s="4">
        <f t="shared" ref="AF103:AF110" si="307">(AD103-$AD$7)*162</f>
        <v>-11.046239999999992</v>
      </c>
      <c r="AG103" s="6">
        <f t="shared" ref="AG103:AG110" si="308">L103/H103</f>
        <v>4.3522400000000001</v>
      </c>
      <c r="AH103">
        <f t="shared" ref="AH103:AH110" si="309">ROUND((M103+U103)*1.02,0)</f>
        <v>427748</v>
      </c>
      <c r="AI103" s="2">
        <f t="shared" ref="AI103:AI110" si="310">(O103-SUM(P103:R103))/$AH103</f>
        <v>0.15486454641517902</v>
      </c>
      <c r="AJ103" s="9">
        <f t="shared" ref="AJ103:AJ110" si="311">P103/$AH103</f>
        <v>5.0415197733244807E-2</v>
      </c>
      <c r="AK103" s="9">
        <f t="shared" ref="AK103:AK110" si="312">Q103/$AH103</f>
        <v>1.5382888990714159E-3</v>
      </c>
      <c r="AL103" s="9">
        <f t="shared" ref="AL103:AL110" si="313">R103/$AH103</f>
        <v>2.6555355022115826E-2</v>
      </c>
      <c r="AM103" s="9">
        <f t="shared" ref="AM103:AM110" si="314">U103/$AH103</f>
        <v>7.4085676613333082E-2</v>
      </c>
      <c r="AN103" s="2">
        <f t="shared" ref="AN103:AN110" si="315">V103/$AH103</f>
        <v>0.21569007920551353</v>
      </c>
      <c r="AO103" s="7">
        <f t="shared" ref="AO103:AO110" si="316">1-SUM(AI103:AN103)-0.02</f>
        <v>0.4568508561115423</v>
      </c>
      <c r="AP103" s="4">
        <f t="shared" ref="AP103:AP110" si="317">$BA$3+SUMPRODUCT(AI103:AO103,$BB$3:$BH$3)</f>
        <v>-11.607243154714979</v>
      </c>
      <c r="AQ103" s="4">
        <f t="shared" ref="AQ103:AQ110" si="318">$BA$4+$BB$4*AP103</f>
        <v>-0.85647907083091401</v>
      </c>
      <c r="AR103" s="6">
        <f t="shared" ref="AR103:AR110" si="319">SUMPRODUCT($AI$1:$AN$1,AI103:AN103)</f>
        <v>0.3094172971001618</v>
      </c>
      <c r="AS103" s="2">
        <f t="shared" ref="AS103:AS110" si="320">AI103/AI$7</f>
        <v>0.98486710735891725</v>
      </c>
      <c r="AT103" s="2">
        <f t="shared" ref="AT103:AT110" si="321">AJ103/AJ$7</f>
        <v>1.0476518733971143</v>
      </c>
      <c r="AU103" s="2">
        <f t="shared" ref="AU103:AU110" si="322">AK103/AK$7</f>
        <v>0.40492838390489316</v>
      </c>
      <c r="AV103" s="2">
        <f t="shared" ref="AV103:AV110" si="323">AL103/AL$7</f>
        <v>1.0096330552486212</v>
      </c>
      <c r="AW103" s="2">
        <f t="shared" ref="AW103:AW110" si="324">AM103/AM$7</f>
        <v>1.0043753581135415</v>
      </c>
      <c r="AX103" s="2">
        <f t="shared" ref="AX103:AX110" si="325">AN103/AN$7</f>
        <v>1.0189552369410422</v>
      </c>
      <c r="AY103" s="2">
        <f t="shared" ref="AY103:AY110" si="326">AO103/AO$7</f>
        <v>0.99511769005354356</v>
      </c>
    </row>
    <row r="104" spans="1:51" x14ac:dyDescent="0.5">
      <c r="A104" t="s">
        <v>185</v>
      </c>
      <c r="B104">
        <v>50</v>
      </c>
      <c r="C104">
        <v>50</v>
      </c>
      <c r="D104">
        <v>50</v>
      </c>
      <c r="E104">
        <v>50</v>
      </c>
      <c r="F104">
        <v>50</v>
      </c>
      <c r="G104">
        <v>25</v>
      </c>
      <c r="H104">
        <v>100000</v>
      </c>
      <c r="I104">
        <v>49795</v>
      </c>
      <c r="J104">
        <f t="shared" si="259"/>
        <v>50205</v>
      </c>
      <c r="K104">
        <v>432180</v>
      </c>
      <c r="L104">
        <v>434478</v>
      </c>
      <c r="M104">
        <v>387668</v>
      </c>
      <c r="N104">
        <v>45819</v>
      </c>
      <c r="O104">
        <v>99932</v>
      </c>
      <c r="P104">
        <v>21607</v>
      </c>
      <c r="Q104">
        <v>636</v>
      </c>
      <c r="R104">
        <v>11408</v>
      </c>
      <c r="S104">
        <v>49508</v>
      </c>
      <c r="T104">
        <v>157035</v>
      </c>
      <c r="U104">
        <v>31761</v>
      </c>
      <c r="V104">
        <v>92009</v>
      </c>
      <c r="W104">
        <v>1683</v>
      </c>
      <c r="X104">
        <v>1466</v>
      </c>
      <c r="Y104">
        <v>0.25800000000000001</v>
      </c>
      <c r="Z104">
        <v>0.314</v>
      </c>
      <c r="AA104">
        <v>0.40500000000000003</v>
      </c>
      <c r="AB104">
        <v>0.71899999999999997</v>
      </c>
      <c r="AC104" s="9">
        <f t="shared" si="304"/>
        <v>0.49795</v>
      </c>
      <c r="AD104" s="6">
        <f t="shared" si="305"/>
        <v>4.3217999999999996</v>
      </c>
      <c r="AE104" s="12">
        <f t="shared" si="306"/>
        <v>-0.43361999999999901</v>
      </c>
      <c r="AF104" s="4">
        <f t="shared" si="307"/>
        <v>-8.5838400000001194</v>
      </c>
      <c r="AG104" s="6">
        <f t="shared" si="308"/>
        <v>4.3447800000000001</v>
      </c>
      <c r="AH104">
        <f t="shared" si="309"/>
        <v>427818</v>
      </c>
      <c r="AI104" s="2">
        <f t="shared" si="310"/>
        <v>0.15492803014365922</v>
      </c>
      <c r="AJ104" s="9">
        <f t="shared" si="311"/>
        <v>5.0505121336643151E-2</v>
      </c>
      <c r="AK104" s="9">
        <f t="shared" si="312"/>
        <v>1.4866134664740613E-3</v>
      </c>
      <c r="AL104" s="9">
        <f t="shared" si="313"/>
        <v>2.6665544694239138E-2</v>
      </c>
      <c r="AM104" s="9">
        <f t="shared" si="314"/>
        <v>7.423951306396645E-2</v>
      </c>
      <c r="AN104" s="2">
        <f t="shared" si="315"/>
        <v>0.21506575225913824</v>
      </c>
      <c r="AO104" s="7">
        <f t="shared" si="316"/>
        <v>0.4571094250358797</v>
      </c>
      <c r="AP104" s="4">
        <f t="shared" si="317"/>
        <v>-11.53820382953927</v>
      </c>
      <c r="AQ104" s="4">
        <f t="shared" si="318"/>
        <v>-0.8497780228809364</v>
      </c>
      <c r="AR104" s="6">
        <f t="shared" si="319"/>
        <v>0.30983095615425249</v>
      </c>
      <c r="AS104" s="2">
        <f t="shared" si="320"/>
        <v>0.98527083459978637</v>
      </c>
      <c r="AT104" s="2">
        <f t="shared" si="321"/>
        <v>1.0495205287986336</v>
      </c>
      <c r="AU104" s="2">
        <f t="shared" si="322"/>
        <v>0.39132570535610806</v>
      </c>
      <c r="AV104" s="2">
        <f t="shared" si="323"/>
        <v>1.0138224601814512</v>
      </c>
      <c r="AW104" s="2">
        <f t="shared" si="324"/>
        <v>1.0064609102372295</v>
      </c>
      <c r="AX104" s="2">
        <f t="shared" si="325"/>
        <v>1.0160058142605195</v>
      </c>
      <c r="AY104" s="2">
        <f t="shared" si="326"/>
        <v>0.9956809078023211</v>
      </c>
    </row>
    <row r="105" spans="1:51" x14ac:dyDescent="0.5">
      <c r="A105" t="s">
        <v>186</v>
      </c>
      <c r="B105">
        <v>50</v>
      </c>
      <c r="C105">
        <v>50</v>
      </c>
      <c r="D105">
        <v>50</v>
      </c>
      <c r="E105">
        <v>50</v>
      </c>
      <c r="F105">
        <v>50</v>
      </c>
      <c r="G105">
        <v>30</v>
      </c>
      <c r="H105">
        <v>100000</v>
      </c>
      <c r="I105">
        <v>49950</v>
      </c>
      <c r="J105">
        <f t="shared" si="259"/>
        <v>50050</v>
      </c>
      <c r="K105">
        <v>432876</v>
      </c>
      <c r="L105">
        <v>434943</v>
      </c>
      <c r="M105">
        <v>399940</v>
      </c>
      <c r="N105">
        <v>47684</v>
      </c>
      <c r="O105">
        <v>103234</v>
      </c>
      <c r="P105">
        <v>22127</v>
      </c>
      <c r="Q105">
        <v>614</v>
      </c>
      <c r="R105">
        <v>11760</v>
      </c>
      <c r="S105">
        <v>52071</v>
      </c>
      <c r="T105">
        <v>161869</v>
      </c>
      <c r="U105">
        <v>32786</v>
      </c>
      <c r="V105">
        <v>94784</v>
      </c>
      <c r="W105">
        <v>1685</v>
      </c>
      <c r="X105">
        <v>1379</v>
      </c>
      <c r="Y105">
        <v>0.25800000000000001</v>
      </c>
      <c r="Z105">
        <v>0.314</v>
      </c>
      <c r="AA105">
        <v>0.40500000000000003</v>
      </c>
      <c r="AB105">
        <v>0.71899999999999997</v>
      </c>
      <c r="AC105" s="9">
        <f t="shared" si="304"/>
        <v>0.4995</v>
      </c>
      <c r="AD105" s="6">
        <f t="shared" si="305"/>
        <v>4.3287599999999999</v>
      </c>
      <c r="AE105" s="12">
        <f t="shared" si="306"/>
        <v>-0.18251999999999968</v>
      </c>
      <c r="AF105" s="4">
        <f t="shared" si="307"/>
        <v>-7.4563200000000709</v>
      </c>
      <c r="AG105" s="6">
        <f t="shared" si="308"/>
        <v>4.3494299999999999</v>
      </c>
      <c r="AH105">
        <f t="shared" si="309"/>
        <v>441381</v>
      </c>
      <c r="AI105" s="2">
        <f t="shared" si="310"/>
        <v>0.15572260699939508</v>
      </c>
      <c r="AJ105" s="9">
        <f t="shared" si="311"/>
        <v>5.0131292466146025E-2</v>
      </c>
      <c r="AK105" s="9">
        <f t="shared" si="312"/>
        <v>1.3910884247396241E-3</v>
      </c>
      <c r="AL105" s="9">
        <f t="shared" si="313"/>
        <v>2.664364800478498E-2</v>
      </c>
      <c r="AM105" s="9">
        <f t="shared" si="314"/>
        <v>7.4280496894972819E-2</v>
      </c>
      <c r="AN105" s="2">
        <f t="shared" si="315"/>
        <v>0.21474417793244385</v>
      </c>
      <c r="AO105" s="7">
        <f t="shared" si="316"/>
        <v>0.45708668927751761</v>
      </c>
      <c r="AP105" s="4">
        <f t="shared" si="317"/>
        <v>-11.688111081665738</v>
      </c>
      <c r="AQ105" s="4">
        <f t="shared" si="318"/>
        <v>-0.86432821846862851</v>
      </c>
      <c r="AR105" s="6">
        <f t="shared" si="319"/>
        <v>0.30992031827378158</v>
      </c>
      <c r="AS105" s="2">
        <f t="shared" si="320"/>
        <v>0.99032397702390818</v>
      </c>
      <c r="AT105" s="2">
        <f t="shared" si="321"/>
        <v>1.0417521864313481</v>
      </c>
      <c r="AU105" s="2">
        <f t="shared" si="322"/>
        <v>0.36618036315457314</v>
      </c>
      <c r="AV105" s="2">
        <f t="shared" si="323"/>
        <v>1.0129899493204584</v>
      </c>
      <c r="AW105" s="2">
        <f t="shared" si="324"/>
        <v>1.0070165257330388</v>
      </c>
      <c r="AX105" s="2">
        <f t="shared" si="325"/>
        <v>1.0144866445079836</v>
      </c>
      <c r="AY105" s="2">
        <f t="shared" si="326"/>
        <v>0.99563138451689825</v>
      </c>
    </row>
    <row r="106" spans="1:51" x14ac:dyDescent="0.5">
      <c r="A106" t="s">
        <v>195</v>
      </c>
      <c r="B106">
        <v>50</v>
      </c>
      <c r="C106">
        <v>50</v>
      </c>
      <c r="D106">
        <v>50</v>
      </c>
      <c r="E106">
        <v>50</v>
      </c>
      <c r="F106">
        <v>50</v>
      </c>
      <c r="G106">
        <v>35</v>
      </c>
      <c r="H106">
        <v>100000</v>
      </c>
      <c r="I106">
        <v>49697</v>
      </c>
      <c r="J106">
        <f t="shared" si="259"/>
        <v>50303</v>
      </c>
      <c r="K106">
        <v>431326</v>
      </c>
      <c r="L106">
        <v>435283</v>
      </c>
      <c r="M106">
        <v>399597</v>
      </c>
      <c r="N106">
        <v>48424</v>
      </c>
      <c r="O106">
        <v>103963</v>
      </c>
      <c r="P106">
        <v>22217</v>
      </c>
      <c r="Q106">
        <v>672</v>
      </c>
      <c r="R106">
        <v>11702</v>
      </c>
      <c r="S106">
        <v>52205</v>
      </c>
      <c r="T106">
        <v>162630</v>
      </c>
      <c r="U106">
        <v>32816</v>
      </c>
      <c r="V106">
        <v>94595</v>
      </c>
      <c r="W106">
        <v>1858</v>
      </c>
      <c r="X106">
        <v>1458</v>
      </c>
      <c r="Y106">
        <v>0.26</v>
      </c>
      <c r="Z106">
        <v>0.316</v>
      </c>
      <c r="AA106">
        <v>0.40699999999999997</v>
      </c>
      <c r="AB106">
        <v>0.72299999999999998</v>
      </c>
      <c r="AC106" s="9">
        <f t="shared" si="304"/>
        <v>0.49697000000000002</v>
      </c>
      <c r="AD106" s="6">
        <f t="shared" si="305"/>
        <v>4.3132599999999996</v>
      </c>
      <c r="AE106" s="12">
        <f t="shared" si="306"/>
        <v>-0.59237999999999591</v>
      </c>
      <c r="AF106" s="4">
        <f t="shared" si="307"/>
        <v>-9.9673200000001181</v>
      </c>
      <c r="AG106" s="6">
        <f t="shared" si="308"/>
        <v>4.35283</v>
      </c>
      <c r="AH106">
        <f t="shared" si="309"/>
        <v>441061</v>
      </c>
      <c r="AI106" s="2">
        <f t="shared" si="310"/>
        <v>0.15728436656154138</v>
      </c>
      <c r="AJ106" s="9">
        <f t="shared" si="311"/>
        <v>5.0371717290805577E-2</v>
      </c>
      <c r="AK106" s="9">
        <f t="shared" si="312"/>
        <v>1.5235987765864585E-3</v>
      </c>
      <c r="AL106" s="9">
        <f t="shared" si="313"/>
        <v>2.6531477505379073E-2</v>
      </c>
      <c r="AM106" s="9">
        <f t="shared" si="314"/>
        <v>7.4402406923305395E-2</v>
      </c>
      <c r="AN106" s="2">
        <f t="shared" si="315"/>
        <v>0.21447146766547032</v>
      </c>
      <c r="AO106" s="7">
        <f t="shared" si="316"/>
        <v>0.45541496527691172</v>
      </c>
      <c r="AP106" s="4">
        <f t="shared" si="317"/>
        <v>-10.78622007175818</v>
      </c>
      <c r="AQ106" s="4">
        <f t="shared" si="318"/>
        <v>-0.77678948764148203</v>
      </c>
      <c r="AR106" s="6">
        <f t="shared" si="319"/>
        <v>0.31169978755773015</v>
      </c>
      <c r="AS106" s="2">
        <f t="shared" si="320"/>
        <v>1.0002560477138489</v>
      </c>
      <c r="AT106" s="2">
        <f t="shared" si="321"/>
        <v>1.0467483290488679</v>
      </c>
      <c r="AU106" s="2">
        <f t="shared" si="322"/>
        <v>0.4010614590634089</v>
      </c>
      <c r="AV106" s="2">
        <f t="shared" si="323"/>
        <v>1.0087252334494172</v>
      </c>
      <c r="AW106" s="2">
        <f t="shared" si="324"/>
        <v>1.0086692531421872</v>
      </c>
      <c r="AX106" s="2">
        <f t="shared" si="325"/>
        <v>1.0131983165713265</v>
      </c>
      <c r="AY106" s="2">
        <f t="shared" si="326"/>
        <v>0.99199001643443629</v>
      </c>
    </row>
    <row r="107" spans="1:51" x14ac:dyDescent="0.5">
      <c r="A107" t="s">
        <v>187</v>
      </c>
      <c r="B107">
        <v>50</v>
      </c>
      <c r="C107">
        <v>50</v>
      </c>
      <c r="D107">
        <v>50</v>
      </c>
      <c r="E107">
        <v>50</v>
      </c>
      <c r="F107">
        <v>50</v>
      </c>
      <c r="G107">
        <v>40</v>
      </c>
      <c r="H107">
        <v>100000</v>
      </c>
      <c r="I107">
        <v>49872</v>
      </c>
      <c r="J107">
        <f t="shared" si="259"/>
        <v>50128</v>
      </c>
      <c r="K107">
        <v>431911</v>
      </c>
      <c r="L107">
        <v>432390</v>
      </c>
      <c r="M107">
        <v>399541</v>
      </c>
      <c r="N107">
        <v>48631</v>
      </c>
      <c r="O107">
        <v>103690</v>
      </c>
      <c r="P107">
        <v>22006</v>
      </c>
      <c r="Q107">
        <v>1043</v>
      </c>
      <c r="R107">
        <v>11586</v>
      </c>
      <c r="S107">
        <v>51801</v>
      </c>
      <c r="T107">
        <v>162540</v>
      </c>
      <c r="U107">
        <v>32996</v>
      </c>
      <c r="V107">
        <v>94161</v>
      </c>
      <c r="W107">
        <v>1869</v>
      </c>
      <c r="X107">
        <v>1657</v>
      </c>
      <c r="Y107">
        <v>0.26</v>
      </c>
      <c r="Z107">
        <v>0.316</v>
      </c>
      <c r="AA107">
        <v>0.40699999999999997</v>
      </c>
      <c r="AB107">
        <v>0.72299999999999998</v>
      </c>
      <c r="AC107" s="9">
        <f t="shared" si="304"/>
        <v>0.49872</v>
      </c>
      <c r="AD107" s="6">
        <f t="shared" si="305"/>
        <v>4.3191100000000002</v>
      </c>
      <c r="AE107" s="12">
        <f t="shared" si="306"/>
        <v>-0.30888000000000015</v>
      </c>
      <c r="AF107" s="4">
        <f t="shared" si="307"/>
        <v>-9.0196200000000246</v>
      </c>
      <c r="AG107" s="6">
        <f t="shared" si="308"/>
        <v>4.3239000000000001</v>
      </c>
      <c r="AH107">
        <f t="shared" si="309"/>
        <v>441188</v>
      </c>
      <c r="AI107" s="2">
        <f t="shared" si="310"/>
        <v>0.15652057626227367</v>
      </c>
      <c r="AJ107" s="9">
        <f t="shared" si="311"/>
        <v>4.9878963163096007E-2</v>
      </c>
      <c r="AK107" s="9">
        <f t="shared" si="312"/>
        <v>2.3640715522634343E-3</v>
      </c>
      <c r="AL107" s="9">
        <f t="shared" si="313"/>
        <v>2.6260913714788253E-2</v>
      </c>
      <c r="AM107" s="9">
        <f t="shared" si="314"/>
        <v>7.4788978848019438E-2</v>
      </c>
      <c r="AN107" s="2">
        <f t="shared" si="315"/>
        <v>0.21342602246661288</v>
      </c>
      <c r="AO107" s="7">
        <f t="shared" si="316"/>
        <v>0.45676047399294628</v>
      </c>
      <c r="AP107" s="4">
        <f t="shared" si="317"/>
        <v>-8.4605208630978268</v>
      </c>
      <c r="AQ107" s="4">
        <f t="shared" si="318"/>
        <v>-0.55105405533831142</v>
      </c>
      <c r="AR107" s="6">
        <f t="shared" si="319"/>
        <v>0.31146323109422736</v>
      </c>
      <c r="AS107" s="2">
        <f t="shared" si="320"/>
        <v>0.99539869359322319</v>
      </c>
      <c r="AT107" s="2">
        <f t="shared" si="321"/>
        <v>1.0365086630705538</v>
      </c>
      <c r="AU107" s="2">
        <f t="shared" si="322"/>
        <v>0.62230161946265361</v>
      </c>
      <c r="AV107" s="2">
        <f t="shared" si="323"/>
        <v>0.99843841384913856</v>
      </c>
      <c r="AW107" s="2">
        <f t="shared" si="324"/>
        <v>1.0139099870204473</v>
      </c>
      <c r="AX107" s="2">
        <f t="shared" si="325"/>
        <v>1.0082594623401329</v>
      </c>
      <c r="AY107" s="2">
        <f t="shared" si="326"/>
        <v>0.99492081870291293</v>
      </c>
    </row>
    <row r="108" spans="1:51" x14ac:dyDescent="0.5">
      <c r="A108" t="s">
        <v>188</v>
      </c>
      <c r="B108">
        <v>50</v>
      </c>
      <c r="C108">
        <v>50</v>
      </c>
      <c r="D108">
        <v>50</v>
      </c>
      <c r="E108">
        <v>50</v>
      </c>
      <c r="F108">
        <v>50</v>
      </c>
      <c r="G108">
        <v>45</v>
      </c>
      <c r="H108">
        <v>100000</v>
      </c>
      <c r="I108">
        <v>49980</v>
      </c>
      <c r="J108">
        <f t="shared" si="259"/>
        <v>50020</v>
      </c>
      <c r="K108">
        <v>434067</v>
      </c>
      <c r="L108">
        <v>434303</v>
      </c>
      <c r="M108">
        <v>399785</v>
      </c>
      <c r="N108">
        <v>48827</v>
      </c>
      <c r="O108">
        <v>104402</v>
      </c>
      <c r="P108">
        <v>21756</v>
      </c>
      <c r="Q108">
        <v>1327</v>
      </c>
      <c r="R108">
        <v>11722</v>
      </c>
      <c r="S108">
        <v>52841</v>
      </c>
      <c r="T108">
        <v>163978</v>
      </c>
      <c r="U108">
        <v>32858</v>
      </c>
      <c r="V108">
        <v>94401</v>
      </c>
      <c r="W108">
        <v>1918</v>
      </c>
      <c r="X108">
        <v>1724</v>
      </c>
      <c r="Y108">
        <v>0.26100000000000001</v>
      </c>
      <c r="Z108">
        <v>0.317</v>
      </c>
      <c r="AA108">
        <v>0.41</v>
      </c>
      <c r="AB108">
        <v>0.72799999999999998</v>
      </c>
      <c r="AC108" s="9">
        <f t="shared" si="304"/>
        <v>0.49980000000000002</v>
      </c>
      <c r="AD108" s="6">
        <f t="shared" si="305"/>
        <v>4.3406700000000003</v>
      </c>
      <c r="AE108" s="12">
        <f t="shared" si="306"/>
        <v>-0.13391999999999604</v>
      </c>
      <c r="AF108" s="4">
        <f t="shared" si="307"/>
        <v>-5.5269000000000208</v>
      </c>
      <c r="AG108" s="6">
        <f t="shared" si="308"/>
        <v>4.3430299999999997</v>
      </c>
      <c r="AH108">
        <f t="shared" si="309"/>
        <v>441296</v>
      </c>
      <c r="AI108" s="2">
        <f t="shared" si="310"/>
        <v>0.15771047097639679</v>
      </c>
      <c r="AJ108" s="9">
        <f t="shared" si="311"/>
        <v>4.9300242920851313E-2</v>
      </c>
      <c r="AK108" s="9">
        <f t="shared" si="312"/>
        <v>3.0070519560567058E-3</v>
      </c>
      <c r="AL108" s="9">
        <f t="shared" si="313"/>
        <v>2.6562669953953809E-2</v>
      </c>
      <c r="AM108" s="9">
        <f t="shared" si="314"/>
        <v>7.4457960189985864E-2</v>
      </c>
      <c r="AN108" s="2">
        <f t="shared" si="315"/>
        <v>0.21391764258003698</v>
      </c>
      <c r="AO108" s="7">
        <f t="shared" si="316"/>
        <v>0.45504396142271852</v>
      </c>
      <c r="AP108" s="4">
        <f t="shared" si="317"/>
        <v>-5.8824279857067268</v>
      </c>
      <c r="AQ108" s="4">
        <f t="shared" si="318"/>
        <v>-0.3008209606936994</v>
      </c>
      <c r="AR108" s="6">
        <f t="shared" si="319"/>
        <v>0.31316966389906092</v>
      </c>
      <c r="AS108" s="2">
        <f t="shared" si="320"/>
        <v>1.0029658753161359</v>
      </c>
      <c r="AT108" s="2">
        <f t="shared" si="321"/>
        <v>1.0244825801983115</v>
      </c>
      <c r="AU108" s="2">
        <f t="shared" si="322"/>
        <v>0.79155527262734293</v>
      </c>
      <c r="AV108" s="2">
        <f t="shared" si="323"/>
        <v>1.0099111685321516</v>
      </c>
      <c r="AW108" s="2">
        <f t="shared" si="324"/>
        <v>1.0094223856593916</v>
      </c>
      <c r="AX108" s="2">
        <f t="shared" si="325"/>
        <v>1.0105819562211877</v>
      </c>
      <c r="AY108" s="2">
        <f t="shared" si="326"/>
        <v>0.99118189165269011</v>
      </c>
    </row>
    <row r="109" spans="1:51" x14ac:dyDescent="0.5">
      <c r="A109" t="s">
        <v>190</v>
      </c>
      <c r="B109">
        <v>50</v>
      </c>
      <c r="C109">
        <v>50</v>
      </c>
      <c r="D109">
        <v>50</v>
      </c>
      <c r="E109">
        <v>50</v>
      </c>
      <c r="F109">
        <v>50</v>
      </c>
      <c r="G109">
        <v>55</v>
      </c>
      <c r="H109">
        <v>100000</v>
      </c>
      <c r="J109">
        <f t="shared" si="259"/>
        <v>100000</v>
      </c>
      <c r="AC109" s="9">
        <f t="shared" si="304"/>
        <v>0</v>
      </c>
      <c r="AD109" s="6">
        <f t="shared" si="305"/>
        <v>0</v>
      </c>
      <c r="AE109" s="12">
        <f t="shared" si="306"/>
        <v>-81.101519999999994</v>
      </c>
      <c r="AF109" s="4">
        <f t="shared" si="307"/>
        <v>-708.71544000000006</v>
      </c>
      <c r="AG109" s="6">
        <f t="shared" si="308"/>
        <v>0</v>
      </c>
      <c r="AH109">
        <f t="shared" si="309"/>
        <v>0</v>
      </c>
      <c r="AI109" s="2" t="e">
        <f t="shared" si="310"/>
        <v>#DIV/0!</v>
      </c>
      <c r="AJ109" s="9" t="e">
        <f t="shared" si="311"/>
        <v>#DIV/0!</v>
      </c>
      <c r="AK109" s="9" t="e">
        <f t="shared" si="312"/>
        <v>#DIV/0!</v>
      </c>
      <c r="AL109" s="9" t="e">
        <f t="shared" si="313"/>
        <v>#DIV/0!</v>
      </c>
      <c r="AM109" s="9" t="e">
        <f t="shared" si="314"/>
        <v>#DIV/0!</v>
      </c>
      <c r="AN109" s="2" t="e">
        <f t="shared" si="315"/>
        <v>#DIV/0!</v>
      </c>
      <c r="AO109" s="7" t="e">
        <f t="shared" si="316"/>
        <v>#DIV/0!</v>
      </c>
      <c r="AP109" s="4" t="e">
        <f t="shared" si="317"/>
        <v>#DIV/0!</v>
      </c>
      <c r="AQ109" s="4" t="e">
        <f t="shared" si="318"/>
        <v>#DIV/0!</v>
      </c>
      <c r="AR109" s="6" t="e">
        <f t="shared" si="319"/>
        <v>#DIV/0!</v>
      </c>
      <c r="AS109" s="2" t="e">
        <f t="shared" si="320"/>
        <v>#DIV/0!</v>
      </c>
      <c r="AT109" s="2" t="e">
        <f t="shared" si="321"/>
        <v>#DIV/0!</v>
      </c>
      <c r="AU109" s="2" t="e">
        <f t="shared" si="322"/>
        <v>#DIV/0!</v>
      </c>
      <c r="AV109" s="2" t="e">
        <f t="shared" si="323"/>
        <v>#DIV/0!</v>
      </c>
      <c r="AW109" s="2" t="e">
        <f t="shared" si="324"/>
        <v>#DIV/0!</v>
      </c>
      <c r="AX109" s="2" t="e">
        <f t="shared" si="325"/>
        <v>#DIV/0!</v>
      </c>
      <c r="AY109" s="2" t="e">
        <f t="shared" si="326"/>
        <v>#DIV/0!</v>
      </c>
    </row>
    <row r="110" spans="1:51" x14ac:dyDescent="0.5">
      <c r="A110" t="s">
        <v>189</v>
      </c>
      <c r="B110">
        <v>50</v>
      </c>
      <c r="C110">
        <v>50</v>
      </c>
      <c r="D110">
        <v>50</v>
      </c>
      <c r="E110">
        <v>50</v>
      </c>
      <c r="F110">
        <v>50</v>
      </c>
      <c r="G110">
        <v>60</v>
      </c>
      <c r="H110">
        <v>100000</v>
      </c>
      <c r="J110">
        <f t="shared" si="259"/>
        <v>100000</v>
      </c>
      <c r="AC110" s="9">
        <f t="shared" si="304"/>
        <v>0</v>
      </c>
      <c r="AD110" s="6">
        <f t="shared" si="305"/>
        <v>0</v>
      </c>
      <c r="AE110" s="12">
        <f t="shared" si="306"/>
        <v>-81.101519999999994</v>
      </c>
      <c r="AF110" s="4">
        <f t="shared" si="307"/>
        <v>-708.71544000000006</v>
      </c>
      <c r="AG110" s="6">
        <f t="shared" si="308"/>
        <v>0</v>
      </c>
      <c r="AH110">
        <f t="shared" si="309"/>
        <v>0</v>
      </c>
      <c r="AI110" s="2" t="e">
        <f t="shared" si="310"/>
        <v>#DIV/0!</v>
      </c>
      <c r="AJ110" s="9" t="e">
        <f t="shared" si="311"/>
        <v>#DIV/0!</v>
      </c>
      <c r="AK110" s="9" t="e">
        <f t="shared" si="312"/>
        <v>#DIV/0!</v>
      </c>
      <c r="AL110" s="9" t="e">
        <f t="shared" si="313"/>
        <v>#DIV/0!</v>
      </c>
      <c r="AM110" s="9" t="e">
        <f t="shared" si="314"/>
        <v>#DIV/0!</v>
      </c>
      <c r="AN110" s="2" t="e">
        <f t="shared" si="315"/>
        <v>#DIV/0!</v>
      </c>
      <c r="AO110" s="7" t="e">
        <f t="shared" si="316"/>
        <v>#DIV/0!</v>
      </c>
      <c r="AP110" s="4" t="e">
        <f t="shared" si="317"/>
        <v>#DIV/0!</v>
      </c>
      <c r="AQ110" s="4" t="e">
        <f t="shared" si="318"/>
        <v>#DIV/0!</v>
      </c>
      <c r="AR110" s="6" t="e">
        <f t="shared" si="319"/>
        <v>#DIV/0!</v>
      </c>
      <c r="AS110" s="2" t="e">
        <f t="shared" si="320"/>
        <v>#DIV/0!</v>
      </c>
      <c r="AT110" s="2" t="e">
        <f t="shared" si="321"/>
        <v>#DIV/0!</v>
      </c>
      <c r="AU110" s="2" t="e">
        <f t="shared" si="322"/>
        <v>#DIV/0!</v>
      </c>
      <c r="AV110" s="2" t="e">
        <f t="shared" si="323"/>
        <v>#DIV/0!</v>
      </c>
      <c r="AW110" s="2" t="e">
        <f t="shared" si="324"/>
        <v>#DIV/0!</v>
      </c>
      <c r="AX110" s="2" t="e">
        <f t="shared" si="325"/>
        <v>#DIV/0!</v>
      </c>
      <c r="AY110" s="2" t="e">
        <f t="shared" si="326"/>
        <v>#DIV/0!</v>
      </c>
    </row>
    <row r="111" spans="1:51" x14ac:dyDescent="0.5">
      <c r="A111" t="s">
        <v>191</v>
      </c>
      <c r="B111">
        <v>50</v>
      </c>
      <c r="C111">
        <v>50</v>
      </c>
      <c r="D111">
        <v>50</v>
      </c>
      <c r="E111">
        <v>50</v>
      </c>
      <c r="F111">
        <v>50</v>
      </c>
      <c r="G111">
        <v>65</v>
      </c>
      <c r="H111">
        <v>100000</v>
      </c>
      <c r="J111">
        <f t="shared" si="259"/>
        <v>100000</v>
      </c>
      <c r="AC111" s="9">
        <f t="shared" ref="AC111:AC114" si="327">I111/H111</f>
        <v>0</v>
      </c>
      <c r="AD111" s="6">
        <f t="shared" ref="AD111:AD114" si="328">K111/H111</f>
        <v>0</v>
      </c>
      <c r="AE111" s="12">
        <f t="shared" ref="AE111:AE114" si="329">(AC111-$AC$7)*162</f>
        <v>-81.101519999999994</v>
      </c>
      <c r="AF111" s="4">
        <f t="shared" ref="AF111:AF114" si="330">(AD111-$AD$7)*162</f>
        <v>-708.71544000000006</v>
      </c>
      <c r="AG111" s="6">
        <f t="shared" ref="AG111:AG114" si="331">L111/H111</f>
        <v>0</v>
      </c>
      <c r="AH111">
        <f t="shared" ref="AH111:AH114" si="332">ROUND((M111+U111)*1.02,0)</f>
        <v>0</v>
      </c>
      <c r="AI111" s="2" t="e">
        <f t="shared" ref="AI111:AI114" si="333">(O111-SUM(P111:R111))/$AH111</f>
        <v>#DIV/0!</v>
      </c>
      <c r="AJ111" s="9" t="e">
        <f t="shared" ref="AJ111:AJ114" si="334">P111/$AH111</f>
        <v>#DIV/0!</v>
      </c>
      <c r="AK111" s="9" t="e">
        <f t="shared" ref="AK111:AK114" si="335">Q111/$AH111</f>
        <v>#DIV/0!</v>
      </c>
      <c r="AL111" s="9" t="e">
        <f t="shared" ref="AL111:AL114" si="336">R111/$AH111</f>
        <v>#DIV/0!</v>
      </c>
      <c r="AM111" s="9" t="e">
        <f t="shared" ref="AM111:AM114" si="337">U111/$AH111</f>
        <v>#DIV/0!</v>
      </c>
      <c r="AN111" s="2" t="e">
        <f t="shared" ref="AN111:AN114" si="338">V111/$AH111</f>
        <v>#DIV/0!</v>
      </c>
      <c r="AO111" s="7" t="e">
        <f t="shared" ref="AO111:AO114" si="339">1-SUM(AI111:AN111)-0.02</f>
        <v>#DIV/0!</v>
      </c>
      <c r="AP111" s="4" t="e">
        <f t="shared" ref="AP111:AP114" si="340">$BA$3+SUMPRODUCT(AI111:AO111,$BB$3:$BH$3)</f>
        <v>#DIV/0!</v>
      </c>
      <c r="AQ111" s="4" t="e">
        <f t="shared" ref="AQ111:AQ114" si="341">$BA$4+$BB$4*AP111</f>
        <v>#DIV/0!</v>
      </c>
      <c r="AR111" s="6" t="e">
        <f t="shared" ref="AR111:AR114" si="342">SUMPRODUCT($AI$1:$AN$1,AI111:AN111)</f>
        <v>#DIV/0!</v>
      </c>
      <c r="AS111" s="2" t="e">
        <f t="shared" ref="AS111:AS114" si="343">AI111/AI$7</f>
        <v>#DIV/0!</v>
      </c>
      <c r="AT111" s="2" t="e">
        <f t="shared" ref="AT111:AT114" si="344">AJ111/AJ$7</f>
        <v>#DIV/0!</v>
      </c>
      <c r="AU111" s="2" t="e">
        <f t="shared" ref="AU111:AU114" si="345">AK111/AK$7</f>
        <v>#DIV/0!</v>
      </c>
      <c r="AV111" s="2" t="e">
        <f t="shared" ref="AV111:AV114" si="346">AL111/AL$7</f>
        <v>#DIV/0!</v>
      </c>
      <c r="AW111" s="2" t="e">
        <f t="shared" ref="AW111:AW114" si="347">AM111/AM$7</f>
        <v>#DIV/0!</v>
      </c>
      <c r="AX111" s="2" t="e">
        <f t="shared" ref="AX111:AX114" si="348">AN111/AN$7</f>
        <v>#DIV/0!</v>
      </c>
      <c r="AY111" s="2" t="e">
        <f t="shared" ref="AY111:AY114" si="349">AO111/AO$7</f>
        <v>#DIV/0!</v>
      </c>
    </row>
    <row r="112" spans="1:51" x14ac:dyDescent="0.5">
      <c r="A112" t="s">
        <v>192</v>
      </c>
      <c r="B112">
        <v>50</v>
      </c>
      <c r="C112">
        <v>50</v>
      </c>
      <c r="D112">
        <v>50</v>
      </c>
      <c r="E112">
        <v>50</v>
      </c>
      <c r="F112">
        <v>50</v>
      </c>
      <c r="G112">
        <v>70</v>
      </c>
      <c r="H112">
        <v>100000</v>
      </c>
      <c r="J112">
        <f t="shared" si="259"/>
        <v>100000</v>
      </c>
      <c r="AC112" s="9">
        <f t="shared" si="327"/>
        <v>0</v>
      </c>
      <c r="AD112" s="6">
        <f t="shared" si="328"/>
        <v>0</v>
      </c>
      <c r="AE112" s="12">
        <f t="shared" si="329"/>
        <v>-81.101519999999994</v>
      </c>
      <c r="AF112" s="4">
        <f t="shared" si="330"/>
        <v>-708.71544000000006</v>
      </c>
      <c r="AG112" s="6">
        <f t="shared" si="331"/>
        <v>0</v>
      </c>
      <c r="AH112">
        <f t="shared" si="332"/>
        <v>0</v>
      </c>
      <c r="AI112" s="2" t="e">
        <f t="shared" si="333"/>
        <v>#DIV/0!</v>
      </c>
      <c r="AJ112" s="9" t="e">
        <f t="shared" si="334"/>
        <v>#DIV/0!</v>
      </c>
      <c r="AK112" s="9" t="e">
        <f t="shared" si="335"/>
        <v>#DIV/0!</v>
      </c>
      <c r="AL112" s="9" t="e">
        <f t="shared" si="336"/>
        <v>#DIV/0!</v>
      </c>
      <c r="AM112" s="9" t="e">
        <f t="shared" si="337"/>
        <v>#DIV/0!</v>
      </c>
      <c r="AN112" s="2" t="e">
        <f t="shared" si="338"/>
        <v>#DIV/0!</v>
      </c>
      <c r="AO112" s="7" t="e">
        <f t="shared" si="339"/>
        <v>#DIV/0!</v>
      </c>
      <c r="AP112" s="4" t="e">
        <f t="shared" si="340"/>
        <v>#DIV/0!</v>
      </c>
      <c r="AQ112" s="4" t="e">
        <f t="shared" si="341"/>
        <v>#DIV/0!</v>
      </c>
      <c r="AR112" s="6" t="e">
        <f t="shared" si="342"/>
        <v>#DIV/0!</v>
      </c>
      <c r="AS112" s="2" t="e">
        <f t="shared" si="343"/>
        <v>#DIV/0!</v>
      </c>
      <c r="AT112" s="2" t="e">
        <f t="shared" si="344"/>
        <v>#DIV/0!</v>
      </c>
      <c r="AU112" s="2" t="e">
        <f t="shared" si="345"/>
        <v>#DIV/0!</v>
      </c>
      <c r="AV112" s="2" t="e">
        <f t="shared" si="346"/>
        <v>#DIV/0!</v>
      </c>
      <c r="AW112" s="2" t="e">
        <f t="shared" si="347"/>
        <v>#DIV/0!</v>
      </c>
      <c r="AX112" s="2" t="e">
        <f t="shared" si="348"/>
        <v>#DIV/0!</v>
      </c>
      <c r="AY112" s="2" t="e">
        <f t="shared" si="349"/>
        <v>#DIV/0!</v>
      </c>
    </row>
    <row r="113" spans="1:51" x14ac:dyDescent="0.5">
      <c r="A113" t="s">
        <v>193</v>
      </c>
      <c r="B113">
        <v>50</v>
      </c>
      <c r="C113">
        <v>50</v>
      </c>
      <c r="D113">
        <v>50</v>
      </c>
      <c r="E113">
        <v>50</v>
      </c>
      <c r="F113">
        <v>50</v>
      </c>
      <c r="G113">
        <v>75</v>
      </c>
      <c r="H113">
        <v>100000</v>
      </c>
      <c r="J113">
        <f t="shared" si="259"/>
        <v>100000</v>
      </c>
      <c r="AC113" s="9">
        <f t="shared" si="327"/>
        <v>0</v>
      </c>
      <c r="AD113" s="6">
        <f t="shared" si="328"/>
        <v>0</v>
      </c>
      <c r="AE113" s="12">
        <f t="shared" si="329"/>
        <v>-81.101519999999994</v>
      </c>
      <c r="AF113" s="4">
        <f t="shared" si="330"/>
        <v>-708.71544000000006</v>
      </c>
      <c r="AG113" s="6">
        <f t="shared" si="331"/>
        <v>0</v>
      </c>
      <c r="AH113">
        <f t="shared" si="332"/>
        <v>0</v>
      </c>
      <c r="AI113" s="2" t="e">
        <f t="shared" si="333"/>
        <v>#DIV/0!</v>
      </c>
      <c r="AJ113" s="9" t="e">
        <f t="shared" si="334"/>
        <v>#DIV/0!</v>
      </c>
      <c r="AK113" s="9" t="e">
        <f t="shared" si="335"/>
        <v>#DIV/0!</v>
      </c>
      <c r="AL113" s="9" t="e">
        <f t="shared" si="336"/>
        <v>#DIV/0!</v>
      </c>
      <c r="AM113" s="9" t="e">
        <f t="shared" si="337"/>
        <v>#DIV/0!</v>
      </c>
      <c r="AN113" s="2" t="e">
        <f t="shared" si="338"/>
        <v>#DIV/0!</v>
      </c>
      <c r="AO113" s="7" t="e">
        <f t="shared" si="339"/>
        <v>#DIV/0!</v>
      </c>
      <c r="AP113" s="4" t="e">
        <f t="shared" si="340"/>
        <v>#DIV/0!</v>
      </c>
      <c r="AQ113" s="4" t="e">
        <f t="shared" si="341"/>
        <v>#DIV/0!</v>
      </c>
      <c r="AR113" s="6" t="e">
        <f t="shared" si="342"/>
        <v>#DIV/0!</v>
      </c>
      <c r="AS113" s="2" t="e">
        <f t="shared" si="343"/>
        <v>#DIV/0!</v>
      </c>
      <c r="AT113" s="2" t="e">
        <f t="shared" si="344"/>
        <v>#DIV/0!</v>
      </c>
      <c r="AU113" s="2" t="e">
        <f t="shared" si="345"/>
        <v>#DIV/0!</v>
      </c>
      <c r="AV113" s="2" t="e">
        <f t="shared" si="346"/>
        <v>#DIV/0!</v>
      </c>
      <c r="AW113" s="2" t="e">
        <f t="shared" si="347"/>
        <v>#DIV/0!</v>
      </c>
      <c r="AX113" s="2" t="e">
        <f t="shared" si="348"/>
        <v>#DIV/0!</v>
      </c>
      <c r="AY113" s="2" t="e">
        <f t="shared" si="349"/>
        <v>#DIV/0!</v>
      </c>
    </row>
    <row r="114" spans="1:51" x14ac:dyDescent="0.5">
      <c r="A114" t="s">
        <v>194</v>
      </c>
      <c r="B114">
        <v>50</v>
      </c>
      <c r="C114">
        <v>50</v>
      </c>
      <c r="D114">
        <v>50</v>
      </c>
      <c r="E114">
        <v>50</v>
      </c>
      <c r="F114">
        <v>50</v>
      </c>
      <c r="G114">
        <v>80</v>
      </c>
      <c r="H114">
        <v>100000</v>
      </c>
      <c r="J114">
        <f t="shared" si="259"/>
        <v>100000</v>
      </c>
      <c r="AC114" s="9">
        <f t="shared" si="327"/>
        <v>0</v>
      </c>
      <c r="AD114" s="6">
        <f t="shared" si="328"/>
        <v>0</v>
      </c>
      <c r="AE114" s="12">
        <f t="shared" si="329"/>
        <v>-81.101519999999994</v>
      </c>
      <c r="AF114" s="4">
        <f t="shared" si="330"/>
        <v>-708.71544000000006</v>
      </c>
      <c r="AG114" s="6">
        <f t="shared" si="331"/>
        <v>0</v>
      </c>
      <c r="AH114">
        <f t="shared" si="332"/>
        <v>0</v>
      </c>
      <c r="AI114" s="2" t="e">
        <f t="shared" si="333"/>
        <v>#DIV/0!</v>
      </c>
      <c r="AJ114" s="9" t="e">
        <f t="shared" si="334"/>
        <v>#DIV/0!</v>
      </c>
      <c r="AK114" s="9" t="e">
        <f t="shared" si="335"/>
        <v>#DIV/0!</v>
      </c>
      <c r="AL114" s="9" t="e">
        <f t="shared" si="336"/>
        <v>#DIV/0!</v>
      </c>
      <c r="AM114" s="9" t="e">
        <f t="shared" si="337"/>
        <v>#DIV/0!</v>
      </c>
      <c r="AN114" s="2" t="e">
        <f t="shared" si="338"/>
        <v>#DIV/0!</v>
      </c>
      <c r="AO114" s="7" t="e">
        <f t="shared" si="339"/>
        <v>#DIV/0!</v>
      </c>
      <c r="AP114" s="4" t="e">
        <f t="shared" si="340"/>
        <v>#DIV/0!</v>
      </c>
      <c r="AQ114" s="4" t="e">
        <f t="shared" si="341"/>
        <v>#DIV/0!</v>
      </c>
      <c r="AR114" s="6" t="e">
        <f t="shared" si="342"/>
        <v>#DIV/0!</v>
      </c>
      <c r="AS114" s="2" t="e">
        <f t="shared" si="343"/>
        <v>#DIV/0!</v>
      </c>
      <c r="AT114" s="2" t="e">
        <f t="shared" si="344"/>
        <v>#DIV/0!</v>
      </c>
      <c r="AU114" s="2" t="e">
        <f t="shared" si="345"/>
        <v>#DIV/0!</v>
      </c>
      <c r="AV114" s="2" t="e">
        <f t="shared" si="346"/>
        <v>#DIV/0!</v>
      </c>
      <c r="AW114" s="2" t="e">
        <f t="shared" si="347"/>
        <v>#DIV/0!</v>
      </c>
      <c r="AX114" s="2" t="e">
        <f t="shared" si="348"/>
        <v>#DIV/0!</v>
      </c>
      <c r="AY114" s="2" t="e">
        <f t="shared" si="349"/>
        <v>#DIV/0!</v>
      </c>
    </row>
  </sheetData>
  <mergeCells count="1">
    <mergeCell ref="AS2:AY2"/>
  </mergeCells>
  <phoneticPr fontId="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595B-1262-479F-9BEB-B1302254BFB3}">
  <dimension ref="A2:P302"/>
  <sheetViews>
    <sheetView topLeftCell="A17" zoomScaleNormal="100" workbookViewId="0">
      <selection activeCell="C18" sqref="C18"/>
    </sheetView>
  </sheetViews>
  <sheetFormatPr defaultRowHeight="14.35" x14ac:dyDescent="0.5"/>
  <cols>
    <col min="1" max="1" width="12" bestFit="1" customWidth="1"/>
    <col min="2" max="2" width="24.703125" bestFit="1" customWidth="1"/>
    <col min="3" max="3" width="12.9375" bestFit="1" customWidth="1"/>
    <col min="4" max="4" width="11.3515625" bestFit="1" customWidth="1"/>
    <col min="5" max="5" width="3.8203125" bestFit="1" customWidth="1"/>
    <col min="6" max="7" width="6.703125" bestFit="1" customWidth="1"/>
    <col min="8" max="8" width="6.3515625" bestFit="1" customWidth="1"/>
    <col min="9" max="9" width="6.703125" bestFit="1" customWidth="1"/>
    <col min="10" max="10" width="10.29296875" style="3" bestFit="1" customWidth="1"/>
    <col min="11" max="11" width="11.1171875" style="3" bestFit="1" customWidth="1"/>
    <col min="12" max="12" width="6.703125" bestFit="1" customWidth="1"/>
    <col min="13" max="13" width="9.8203125" bestFit="1" customWidth="1"/>
    <col min="14" max="14" width="9.41015625" bestFit="1" customWidth="1"/>
    <col min="15" max="15" width="11.29296875" bestFit="1" customWidth="1"/>
    <col min="16" max="16" width="11.17578125" bestFit="1" customWidth="1"/>
  </cols>
  <sheetData>
    <row r="2" spans="1:16" x14ac:dyDescent="0.5">
      <c r="H2" t="s">
        <v>48</v>
      </c>
      <c r="I2" t="s">
        <v>48</v>
      </c>
      <c r="J2" s="3" t="s">
        <v>48</v>
      </c>
      <c r="K2" s="3" t="s">
        <v>48</v>
      </c>
      <c r="L2" t="s">
        <v>48</v>
      </c>
      <c r="M2" t="s">
        <v>48</v>
      </c>
      <c r="N2" t="s">
        <v>48</v>
      </c>
      <c r="O2" t="s">
        <v>48</v>
      </c>
      <c r="P2" t="s">
        <v>48</v>
      </c>
    </row>
    <row r="3" spans="1:16" x14ac:dyDescent="0.5">
      <c r="A3" t="s">
        <v>160</v>
      </c>
      <c r="B3" t="s">
        <v>167</v>
      </c>
      <c r="C3" t="s">
        <v>172</v>
      </c>
      <c r="D3" t="s">
        <v>173</v>
      </c>
      <c r="E3" t="s">
        <v>168</v>
      </c>
      <c r="F3" t="s">
        <v>169</v>
      </c>
      <c r="G3" t="s">
        <v>166</v>
      </c>
      <c r="H3" s="16" t="s">
        <v>40</v>
      </c>
      <c r="I3" s="16" t="s">
        <v>41</v>
      </c>
      <c r="J3" s="3" t="s">
        <v>161</v>
      </c>
      <c r="K3" s="3" t="s">
        <v>162</v>
      </c>
      <c r="L3" t="s">
        <v>44</v>
      </c>
      <c r="M3" t="s">
        <v>170</v>
      </c>
      <c r="N3" t="s">
        <v>163</v>
      </c>
      <c r="O3" t="s">
        <v>46</v>
      </c>
      <c r="P3" t="s">
        <v>164</v>
      </c>
    </row>
    <row r="4" spans="1:16" hidden="1" x14ac:dyDescent="0.5">
      <c r="A4" t="s">
        <v>110</v>
      </c>
      <c r="B4" t="s">
        <v>165</v>
      </c>
      <c r="C4">
        <v>60</v>
      </c>
      <c r="D4">
        <v>60</v>
      </c>
      <c r="E4">
        <v>55</v>
      </c>
      <c r="F4">
        <v>50</v>
      </c>
      <c r="G4">
        <v>100000</v>
      </c>
      <c r="H4" s="3">
        <v>50231</v>
      </c>
      <c r="I4">
        <f>G4-H4</f>
        <v>49769</v>
      </c>
      <c r="J4" s="3">
        <v>434612</v>
      </c>
      <c r="K4" s="3">
        <v>433939</v>
      </c>
      <c r="L4" s="9">
        <f t="shared" ref="L4:L6" si="0">H4/G4</f>
        <v>0.50231000000000003</v>
      </c>
      <c r="M4" s="5">
        <f t="shared" ref="M4:M6" si="1">J4/G4</f>
        <v>4.34612</v>
      </c>
      <c r="N4" s="5">
        <f t="shared" ref="N4:N6" si="2">K4/G4</f>
        <v>4.3393899999999999</v>
      </c>
    </row>
    <row r="5" spans="1:16" hidden="1" x14ac:dyDescent="0.5">
      <c r="A5" t="s">
        <v>110</v>
      </c>
      <c r="B5" t="s">
        <v>165</v>
      </c>
      <c r="C5">
        <v>60</v>
      </c>
      <c r="D5">
        <v>60</v>
      </c>
      <c r="E5">
        <v>55</v>
      </c>
      <c r="F5">
        <v>50</v>
      </c>
      <c r="G5">
        <v>100000</v>
      </c>
      <c r="H5" s="3">
        <v>50093</v>
      </c>
      <c r="I5">
        <f t="shared" ref="I5:I7" si="3">G5-H5</f>
        <v>49907</v>
      </c>
      <c r="J5" s="3">
        <v>434305</v>
      </c>
      <c r="K5" s="3">
        <v>433615</v>
      </c>
      <c r="L5" s="9">
        <f t="shared" si="0"/>
        <v>0.50092999999999999</v>
      </c>
      <c r="M5" s="5">
        <f t="shared" si="1"/>
        <v>4.3430499999999999</v>
      </c>
      <c r="N5" s="5">
        <f t="shared" si="2"/>
        <v>4.3361499999999999</v>
      </c>
    </row>
    <row r="6" spans="1:16" hidden="1" x14ac:dyDescent="0.5">
      <c r="A6" t="s">
        <v>110</v>
      </c>
      <c r="B6" t="s">
        <v>165</v>
      </c>
      <c r="C6">
        <v>60</v>
      </c>
      <c r="D6">
        <v>60</v>
      </c>
      <c r="E6">
        <v>55</v>
      </c>
      <c r="F6">
        <v>50</v>
      </c>
      <c r="G6">
        <v>100000</v>
      </c>
      <c r="H6" s="3">
        <v>50118</v>
      </c>
      <c r="I6">
        <f t="shared" si="3"/>
        <v>49882</v>
      </c>
      <c r="J6" s="3">
        <v>434377</v>
      </c>
      <c r="K6" s="3">
        <v>434430</v>
      </c>
      <c r="L6" s="9">
        <f t="shared" si="0"/>
        <v>0.50117999999999996</v>
      </c>
      <c r="M6" s="5">
        <f t="shared" si="1"/>
        <v>4.3437700000000001</v>
      </c>
      <c r="N6" s="5">
        <f t="shared" si="2"/>
        <v>4.3442999999999996</v>
      </c>
    </row>
    <row r="7" spans="1:16" ht="15" customHeight="1" x14ac:dyDescent="0.5">
      <c r="A7" s="18" t="s">
        <v>110</v>
      </c>
      <c r="B7" s="18" t="s">
        <v>34</v>
      </c>
      <c r="C7" s="18">
        <v>60</v>
      </c>
      <c r="D7" s="18">
        <v>60</v>
      </c>
      <c r="E7" s="18">
        <v>55</v>
      </c>
      <c r="F7" s="18">
        <v>50</v>
      </c>
      <c r="G7" s="18">
        <v>100000</v>
      </c>
      <c r="H7" s="19">
        <f>AVERAGE(H4:H6)</f>
        <v>50147.333333333336</v>
      </c>
      <c r="I7" s="19">
        <f t="shared" si="3"/>
        <v>49852.666666666664</v>
      </c>
      <c r="J7" s="19">
        <f>AVERAGE(J4:J6)</f>
        <v>434431.33333333331</v>
      </c>
      <c r="K7" s="19">
        <f>AVERAGE(K4:K6)</f>
        <v>433994.66666666669</v>
      </c>
      <c r="L7" s="20">
        <f>H7/G7</f>
        <v>0.50147333333333333</v>
      </c>
      <c r="M7" s="21">
        <f>J7/G7</f>
        <v>4.344313333333333</v>
      </c>
      <c r="N7" s="21">
        <f>K7/G7</f>
        <v>4.3399466666666671</v>
      </c>
      <c r="O7" s="21" t="s">
        <v>50</v>
      </c>
      <c r="P7" s="22" t="s">
        <v>50</v>
      </c>
    </row>
    <row r="8" spans="1:16" x14ac:dyDescent="0.5">
      <c r="A8" t="s">
        <v>110</v>
      </c>
      <c r="B8" t="str">
        <f t="shared" ref="B8:B55" si="4">_xlfn.CONCAT("RNG",C8,"xERR",D8,"xARM",E8,"xTDP",F8)</f>
        <v>RNG40xERR60xARM55xTDP50</v>
      </c>
      <c r="C8">
        <v>40</v>
      </c>
      <c r="D8">
        <v>60</v>
      </c>
      <c r="E8">
        <v>55</v>
      </c>
      <c r="F8">
        <v>50</v>
      </c>
      <c r="G8">
        <v>100000</v>
      </c>
      <c r="H8" s="3">
        <v>49543</v>
      </c>
      <c r="I8" s="3">
        <f t="shared" ref="I8:I9" si="5">G8-H8</f>
        <v>50457</v>
      </c>
      <c r="J8" s="3">
        <v>434865</v>
      </c>
      <c r="K8" s="3">
        <v>440217</v>
      </c>
      <c r="L8" s="9">
        <f t="shared" ref="L8:L9" si="6">H8/G8</f>
        <v>0.49542999999999998</v>
      </c>
      <c r="M8" s="5">
        <f t="shared" ref="M8:M9" si="7">J8/G8</f>
        <v>4.3486500000000001</v>
      </c>
      <c r="N8" s="5">
        <f t="shared" ref="N8:N9" si="8">K8/G8</f>
        <v>4.4021699999999999</v>
      </c>
      <c r="O8" s="5">
        <f>(L8-$L$7)*162</f>
        <v>-0.97902000000000189</v>
      </c>
      <c r="P8" s="4">
        <f>-(N8-$N$7)*162</f>
        <v>-10.080179999999922</v>
      </c>
    </row>
    <row r="9" spans="1:16" x14ac:dyDescent="0.5">
      <c r="A9" t="s">
        <v>110</v>
      </c>
      <c r="B9" t="str">
        <f t="shared" si="4"/>
        <v>RNG45xERR60xARM55xTDP50</v>
      </c>
      <c r="C9">
        <v>45</v>
      </c>
      <c r="D9">
        <v>60</v>
      </c>
      <c r="E9">
        <v>55</v>
      </c>
      <c r="F9">
        <v>50</v>
      </c>
      <c r="G9">
        <v>100000</v>
      </c>
      <c r="H9" s="3">
        <v>49497</v>
      </c>
      <c r="I9" s="3">
        <f t="shared" si="5"/>
        <v>50503</v>
      </c>
      <c r="J9" s="3">
        <v>434811</v>
      </c>
      <c r="K9" s="3">
        <v>438342</v>
      </c>
      <c r="L9" s="9">
        <f t="shared" si="6"/>
        <v>0.49497000000000002</v>
      </c>
      <c r="M9" s="5">
        <f t="shared" si="7"/>
        <v>4.3481100000000001</v>
      </c>
      <c r="N9" s="5">
        <f t="shared" si="8"/>
        <v>4.3834200000000001</v>
      </c>
      <c r="O9" s="5">
        <f t="shared" ref="O9" si="9">(L9-$L$7)*162</f>
        <v>-1.0535399999999955</v>
      </c>
      <c r="P9" s="4">
        <f t="shared" ref="P9" si="10">-(N9-$N$7)*162</f>
        <v>-7.042679999999951</v>
      </c>
    </row>
    <row r="10" spans="1:16" x14ac:dyDescent="0.5">
      <c r="A10" t="s">
        <v>110</v>
      </c>
      <c r="B10" t="str">
        <f t="shared" si="4"/>
        <v>RNG50xERR60xARM55xTDP50</v>
      </c>
      <c r="C10">
        <v>50</v>
      </c>
      <c r="D10">
        <v>60</v>
      </c>
      <c r="E10">
        <v>55</v>
      </c>
      <c r="F10">
        <v>50</v>
      </c>
      <c r="G10">
        <v>100000</v>
      </c>
      <c r="H10" s="3">
        <v>49215</v>
      </c>
      <c r="I10" s="3">
        <f t="shared" ref="I10:I91" si="11">G10-H10</f>
        <v>50785</v>
      </c>
      <c r="J10" s="3">
        <v>433536</v>
      </c>
      <c r="K10" s="3">
        <v>440885</v>
      </c>
      <c r="L10" s="9">
        <f t="shared" ref="L10:L14" si="12">H10/G10</f>
        <v>0.49214999999999998</v>
      </c>
      <c r="M10" s="5">
        <f t="shared" ref="M10:M22" si="13">J10/G10</f>
        <v>4.3353599999999997</v>
      </c>
      <c r="N10" s="5">
        <f>K10/G10</f>
        <v>4.4088500000000002</v>
      </c>
      <c r="O10" s="5">
        <f t="shared" ref="O10:O11" si="14">(L10-$L$7)*162</f>
        <v>-1.5103800000000027</v>
      </c>
      <c r="P10" s="4">
        <f t="shared" ref="P10:P11" si="15">-(N10-$N$7)*162</f>
        <v>-11.162339999999961</v>
      </c>
    </row>
    <row r="11" spans="1:16" x14ac:dyDescent="0.5">
      <c r="A11" t="s">
        <v>110</v>
      </c>
      <c r="B11" t="str">
        <f t="shared" si="4"/>
        <v>RNG55xERR60xARM55xTDP50</v>
      </c>
      <c r="C11">
        <v>55</v>
      </c>
      <c r="D11">
        <v>60</v>
      </c>
      <c r="E11">
        <v>55</v>
      </c>
      <c r="F11">
        <v>50</v>
      </c>
      <c r="G11">
        <v>100000</v>
      </c>
      <c r="H11" s="3">
        <v>49146</v>
      </c>
      <c r="I11" s="3">
        <f t="shared" si="11"/>
        <v>50854</v>
      </c>
      <c r="J11" s="3">
        <v>435444</v>
      </c>
      <c r="K11" s="3">
        <v>442064</v>
      </c>
      <c r="L11" s="9">
        <f t="shared" si="12"/>
        <v>0.49146000000000001</v>
      </c>
      <c r="M11" s="5">
        <f t="shared" si="13"/>
        <v>4.3544400000000003</v>
      </c>
      <c r="N11" s="5">
        <f>K11/G11</f>
        <v>4.4206399999999997</v>
      </c>
      <c r="O11" s="5">
        <f t="shared" si="14"/>
        <v>-1.6221599999999976</v>
      </c>
      <c r="P11" s="4">
        <f t="shared" si="15"/>
        <v>-13.072319999999884</v>
      </c>
    </row>
    <row r="12" spans="1:16" x14ac:dyDescent="0.5">
      <c r="A12" t="s">
        <v>110</v>
      </c>
      <c r="B12" t="str">
        <f t="shared" si="4"/>
        <v>RNG65xERR60xARM55xTDP50</v>
      </c>
      <c r="C12">
        <v>65</v>
      </c>
      <c r="D12">
        <v>60</v>
      </c>
      <c r="E12">
        <v>55</v>
      </c>
      <c r="F12">
        <v>50</v>
      </c>
      <c r="G12">
        <v>100000</v>
      </c>
      <c r="H12" s="3">
        <v>51849</v>
      </c>
      <c r="I12" s="3">
        <f t="shared" si="11"/>
        <v>48151</v>
      </c>
      <c r="J12" s="3">
        <v>434109</v>
      </c>
      <c r="K12" s="3">
        <v>416465</v>
      </c>
      <c r="L12" s="9">
        <f t="shared" si="12"/>
        <v>0.51849000000000001</v>
      </c>
      <c r="M12" s="5">
        <f t="shared" si="13"/>
        <v>4.3410900000000003</v>
      </c>
      <c r="N12" s="5">
        <f>K12/G12</f>
        <v>4.16465</v>
      </c>
      <c r="O12" s="5">
        <f>(L12-$L$7)*162</f>
        <v>2.7567000000000021</v>
      </c>
      <c r="P12" s="4">
        <f>-(N12-$N$7)*162</f>
        <v>28.398060000000072</v>
      </c>
    </row>
    <row r="13" spans="1:16" x14ac:dyDescent="0.5">
      <c r="A13" t="s">
        <v>110</v>
      </c>
      <c r="B13" t="str">
        <f t="shared" si="4"/>
        <v>RNG70xERR60xARM55xTDP50</v>
      </c>
      <c r="C13">
        <v>70</v>
      </c>
      <c r="D13">
        <v>60</v>
      </c>
      <c r="E13">
        <v>55</v>
      </c>
      <c r="F13">
        <v>50</v>
      </c>
      <c r="G13">
        <v>100000</v>
      </c>
      <c r="H13" s="3">
        <v>51991</v>
      </c>
      <c r="I13" s="3">
        <f t="shared" si="11"/>
        <v>48009</v>
      </c>
      <c r="J13" s="3">
        <v>433680</v>
      </c>
      <c r="K13" s="3">
        <v>413888</v>
      </c>
      <c r="L13" s="9">
        <f t="shared" si="12"/>
        <v>0.51990999999999998</v>
      </c>
      <c r="M13" s="5">
        <f t="shared" si="13"/>
        <v>4.3368000000000002</v>
      </c>
      <c r="N13" s="5">
        <f>K13/G13</f>
        <v>4.1388800000000003</v>
      </c>
      <c r="O13" s="5">
        <f t="shared" ref="O13:O14" si="16">(L13-$L$7)*162</f>
        <v>2.9867399999999984</v>
      </c>
      <c r="P13" s="4">
        <f t="shared" ref="P13:P14" si="17">-(N13-$N$7)*162</f>
        <v>32.572800000000008</v>
      </c>
    </row>
    <row r="14" spans="1:16" x14ac:dyDescent="0.5">
      <c r="A14" t="s">
        <v>110</v>
      </c>
      <c r="B14" t="str">
        <f t="shared" si="4"/>
        <v>RNG75xERR60xARM55xTDP50</v>
      </c>
      <c r="C14">
        <v>75</v>
      </c>
      <c r="D14">
        <v>60</v>
      </c>
      <c r="E14">
        <v>55</v>
      </c>
      <c r="F14">
        <v>50</v>
      </c>
      <c r="G14">
        <v>100000</v>
      </c>
      <c r="H14" s="3">
        <v>51814</v>
      </c>
      <c r="I14" s="3">
        <f t="shared" si="11"/>
        <v>48186</v>
      </c>
      <c r="J14" s="3">
        <v>431343</v>
      </c>
      <c r="K14" s="3">
        <v>413087</v>
      </c>
      <c r="L14" s="9">
        <f t="shared" si="12"/>
        <v>0.51814000000000004</v>
      </c>
      <c r="M14" s="5">
        <f t="shared" si="13"/>
        <v>4.3134300000000003</v>
      </c>
      <c r="N14" s="5">
        <f>K14/G14</f>
        <v>4.1308699999999998</v>
      </c>
      <c r="O14" s="5">
        <f t="shared" si="16"/>
        <v>2.7000000000000082</v>
      </c>
      <c r="P14" s="4">
        <f t="shared" si="17"/>
        <v>33.870420000000095</v>
      </c>
    </row>
    <row r="15" spans="1:16" x14ac:dyDescent="0.5">
      <c r="A15" t="s">
        <v>110</v>
      </c>
      <c r="B15" t="str">
        <f t="shared" si="4"/>
        <v>RNG60xERR50xARM55xTDP50</v>
      </c>
      <c r="C15">
        <v>60</v>
      </c>
      <c r="D15">
        <v>50</v>
      </c>
      <c r="E15">
        <v>55</v>
      </c>
      <c r="F15">
        <v>50</v>
      </c>
      <c r="G15">
        <v>100000</v>
      </c>
      <c r="H15" s="3">
        <v>49866</v>
      </c>
      <c r="I15" s="3">
        <f t="shared" si="11"/>
        <v>50134</v>
      </c>
      <c r="J15" s="3">
        <v>434246</v>
      </c>
      <c r="K15" s="3">
        <v>436547</v>
      </c>
      <c r="L15" s="9">
        <f t="shared" ref="L15:L19" si="18">H15/G15</f>
        <v>0.49865999999999999</v>
      </c>
      <c r="M15" s="5">
        <f t="shared" si="13"/>
        <v>4.34246</v>
      </c>
      <c r="N15" s="5">
        <f t="shared" ref="N15:N19" si="19">K15/G15</f>
        <v>4.3654700000000002</v>
      </c>
      <c r="O15" s="5">
        <f t="shared" ref="O15:O19" si="20">(L15-$L$7)*162</f>
        <v>-0.45576000000000016</v>
      </c>
      <c r="P15" s="4">
        <f t="shared" ref="P15:P19" si="21">-(N15-$N$7)*162</f>
        <v>-4.1347799999999655</v>
      </c>
    </row>
    <row r="16" spans="1:16" x14ac:dyDescent="0.5">
      <c r="A16" t="s">
        <v>110</v>
      </c>
      <c r="B16" t="str">
        <f t="shared" si="4"/>
        <v>RNG60xERR55xARM55xTDP50</v>
      </c>
      <c r="C16">
        <v>60</v>
      </c>
      <c r="D16">
        <v>55</v>
      </c>
      <c r="E16">
        <v>55</v>
      </c>
      <c r="F16">
        <v>50</v>
      </c>
      <c r="G16">
        <v>100000</v>
      </c>
      <c r="H16" s="3">
        <v>49855</v>
      </c>
      <c r="I16" s="3">
        <f t="shared" si="11"/>
        <v>50145</v>
      </c>
      <c r="J16" s="3">
        <v>435110</v>
      </c>
      <c r="K16" s="3">
        <v>436472</v>
      </c>
      <c r="L16" s="9">
        <f t="shared" si="18"/>
        <v>0.49854999999999999</v>
      </c>
      <c r="M16" s="5">
        <f t="shared" si="13"/>
        <v>4.3510999999999997</v>
      </c>
      <c r="N16" s="5">
        <f t="shared" si="19"/>
        <v>4.3647200000000002</v>
      </c>
      <c r="O16" s="5">
        <f t="shared" si="20"/>
        <v>-0.47358</v>
      </c>
      <c r="P16" s="4">
        <f t="shared" si="21"/>
        <v>-4.0132799999999609</v>
      </c>
    </row>
    <row r="17" spans="1:16" x14ac:dyDescent="0.5">
      <c r="A17" t="s">
        <v>110</v>
      </c>
      <c r="B17" t="str">
        <f t="shared" si="4"/>
        <v>RNG60xERR65xARM55xTDP50</v>
      </c>
      <c r="C17">
        <v>60</v>
      </c>
      <c r="D17">
        <v>65</v>
      </c>
      <c r="E17">
        <v>55</v>
      </c>
      <c r="F17">
        <v>50</v>
      </c>
      <c r="G17">
        <v>100000</v>
      </c>
      <c r="H17" s="3">
        <v>49965</v>
      </c>
      <c r="I17" s="3">
        <f t="shared" si="11"/>
        <v>50035</v>
      </c>
      <c r="J17" s="3">
        <v>435041</v>
      </c>
      <c r="K17" s="3">
        <v>434114</v>
      </c>
      <c r="L17" s="9">
        <f t="shared" si="18"/>
        <v>0.49964999999999998</v>
      </c>
      <c r="M17" s="5">
        <f t="shared" si="13"/>
        <v>4.3504100000000001</v>
      </c>
      <c r="N17" s="5">
        <f t="shared" si="19"/>
        <v>4.3411400000000002</v>
      </c>
      <c r="O17" s="5">
        <f t="shared" si="20"/>
        <v>-0.29538000000000164</v>
      </c>
      <c r="P17" s="4">
        <f t="shared" si="21"/>
        <v>-0.19331999999997151</v>
      </c>
    </row>
    <row r="18" spans="1:16" x14ac:dyDescent="0.5">
      <c r="A18" t="s">
        <v>110</v>
      </c>
      <c r="B18" t="str">
        <f t="shared" si="4"/>
        <v>RNG60xERR70xARM55xTDP50</v>
      </c>
      <c r="C18">
        <v>60</v>
      </c>
      <c r="D18">
        <v>70</v>
      </c>
      <c r="E18">
        <v>55</v>
      </c>
      <c r="F18">
        <v>50</v>
      </c>
      <c r="G18">
        <v>100000</v>
      </c>
      <c r="H18" s="3">
        <v>50584</v>
      </c>
      <c r="I18" s="3">
        <f t="shared" si="11"/>
        <v>49416</v>
      </c>
      <c r="J18" s="3">
        <v>435999</v>
      </c>
      <c r="K18" s="3">
        <v>431954</v>
      </c>
      <c r="L18" s="9">
        <f t="shared" si="18"/>
        <v>0.50583999999999996</v>
      </c>
      <c r="M18" s="5">
        <f t="shared" si="13"/>
        <v>4.3599899999999998</v>
      </c>
      <c r="N18" s="5">
        <f t="shared" si="19"/>
        <v>4.3195399999999999</v>
      </c>
      <c r="O18" s="5">
        <f t="shared" si="20"/>
        <v>0.70739999999999403</v>
      </c>
      <c r="P18" s="4">
        <f t="shared" si="21"/>
        <v>3.3058800000000748</v>
      </c>
    </row>
    <row r="19" spans="1:16" x14ac:dyDescent="0.5">
      <c r="A19" t="s">
        <v>110</v>
      </c>
      <c r="B19" t="str">
        <f t="shared" si="4"/>
        <v>RNG60xERR75xARM55xTDP50</v>
      </c>
      <c r="C19">
        <v>60</v>
      </c>
      <c r="D19">
        <v>75</v>
      </c>
      <c r="E19">
        <v>55</v>
      </c>
      <c r="F19">
        <v>50</v>
      </c>
      <c r="G19">
        <v>100000</v>
      </c>
      <c r="H19" s="3">
        <v>50331</v>
      </c>
      <c r="I19" s="3">
        <f t="shared" si="11"/>
        <v>49669</v>
      </c>
      <c r="J19" s="3">
        <v>436126</v>
      </c>
      <c r="K19" s="3">
        <v>432745</v>
      </c>
      <c r="L19" s="9">
        <f t="shared" si="18"/>
        <v>0.50331000000000004</v>
      </c>
      <c r="M19" s="5">
        <f t="shared" si="13"/>
        <v>4.3612599999999997</v>
      </c>
      <c r="N19" s="5">
        <f t="shared" si="19"/>
        <v>4.3274499999999998</v>
      </c>
      <c r="O19" s="5">
        <f t="shared" si="20"/>
        <v>0.2975400000000068</v>
      </c>
      <c r="P19" s="4">
        <f t="shared" si="21"/>
        <v>2.0244600000000972</v>
      </c>
    </row>
    <row r="20" spans="1:16" x14ac:dyDescent="0.5">
      <c r="A20" t="s">
        <v>110</v>
      </c>
      <c r="B20" t="str">
        <f t="shared" si="4"/>
        <v>RNG60xERR60xARM50xTDP50</v>
      </c>
      <c r="C20">
        <v>60</v>
      </c>
      <c r="D20">
        <v>60</v>
      </c>
      <c r="E20">
        <v>50</v>
      </c>
      <c r="F20">
        <v>50</v>
      </c>
      <c r="G20">
        <v>100000</v>
      </c>
      <c r="H20" s="3">
        <v>49540</v>
      </c>
      <c r="I20" s="3">
        <f t="shared" si="11"/>
        <v>50460</v>
      </c>
      <c r="J20" s="3">
        <v>434954</v>
      </c>
      <c r="K20" s="3">
        <v>440226</v>
      </c>
      <c r="L20" s="9">
        <f t="shared" ref="L20" si="22">H20/G20</f>
        <v>0.49540000000000001</v>
      </c>
      <c r="M20" s="5">
        <f t="shared" ref="M20" si="23">J20/G20</f>
        <v>4.3495400000000002</v>
      </c>
      <c r="N20" s="5">
        <f t="shared" ref="N20" si="24">K20/G20</f>
        <v>4.4022600000000001</v>
      </c>
      <c r="O20" s="5">
        <f t="shared" ref="O20" si="25">(L20-$L$7)*162</f>
        <v>-0.98387999999999776</v>
      </c>
      <c r="P20" s="4">
        <f t="shared" ref="P20" si="26">-(N20-$N$7)*162</f>
        <v>-10.094759999999946</v>
      </c>
    </row>
    <row r="21" spans="1:16" x14ac:dyDescent="0.5">
      <c r="A21" t="s">
        <v>110</v>
      </c>
      <c r="B21" t="str">
        <f t="shared" si="4"/>
        <v>RNG60xERR60xARM60xTDP50</v>
      </c>
      <c r="C21">
        <v>60</v>
      </c>
      <c r="D21">
        <v>60</v>
      </c>
      <c r="E21">
        <v>60</v>
      </c>
      <c r="F21">
        <v>50</v>
      </c>
      <c r="G21">
        <v>100000</v>
      </c>
      <c r="H21" s="3">
        <v>51070</v>
      </c>
      <c r="I21" s="3">
        <f t="shared" si="11"/>
        <v>48930</v>
      </c>
      <c r="J21" s="3">
        <v>434401</v>
      </c>
      <c r="K21" s="3">
        <v>424502</v>
      </c>
      <c r="L21" s="9">
        <f t="shared" ref="L21" si="27">H21/G21</f>
        <v>0.51070000000000004</v>
      </c>
      <c r="M21" s="5">
        <f t="shared" si="13"/>
        <v>4.3440099999999999</v>
      </c>
      <c r="N21" s="5">
        <f t="shared" ref="N21" si="28">K21/G21</f>
        <v>4.2450200000000002</v>
      </c>
      <c r="O21" s="5">
        <f t="shared" ref="O21" si="29">(L21-$L$7)*162</f>
        <v>1.494720000000008</v>
      </c>
      <c r="P21" s="4">
        <f t="shared" ref="P21" si="30">-(N21-$N$7)*162</f>
        <v>15.378120000000026</v>
      </c>
    </row>
    <row r="22" spans="1:16" x14ac:dyDescent="0.5">
      <c r="A22" t="s">
        <v>110</v>
      </c>
      <c r="B22" t="str">
        <f t="shared" si="4"/>
        <v>RNG60xERR60xARM65xTDP50</v>
      </c>
      <c r="C22">
        <v>60</v>
      </c>
      <c r="D22">
        <v>60</v>
      </c>
      <c r="E22">
        <v>65</v>
      </c>
      <c r="F22">
        <v>50</v>
      </c>
      <c r="G22">
        <v>100000</v>
      </c>
      <c r="H22" s="3">
        <v>51738</v>
      </c>
      <c r="I22" s="3">
        <f t="shared" si="11"/>
        <v>48262</v>
      </c>
      <c r="J22" s="3">
        <v>432716</v>
      </c>
      <c r="K22" s="3">
        <v>416834</v>
      </c>
      <c r="L22" s="9">
        <f t="shared" ref="L22" si="31">H22/G22</f>
        <v>0.51737999999999995</v>
      </c>
      <c r="M22" s="5">
        <f t="shared" si="13"/>
        <v>4.3271600000000001</v>
      </c>
      <c r="N22" s="5">
        <f t="shared" ref="N22" si="32">K22/G22</f>
        <v>4.1683399999999997</v>
      </c>
      <c r="O22" s="5">
        <f t="shared" ref="O22" si="33">(L22-$L$7)*162</f>
        <v>2.576879999999993</v>
      </c>
      <c r="P22" s="4">
        <f t="shared" ref="P22" si="34">-(N22-$N$7)*162</f>
        <v>27.800280000000111</v>
      </c>
    </row>
    <row r="23" spans="1:16" x14ac:dyDescent="0.5">
      <c r="A23" t="s">
        <v>110</v>
      </c>
      <c r="B23" t="str">
        <f t="shared" si="4"/>
        <v>RNG60xERR60xARM70xTDP50</v>
      </c>
      <c r="C23">
        <v>60</v>
      </c>
      <c r="D23">
        <v>60</v>
      </c>
      <c r="E23">
        <v>70</v>
      </c>
      <c r="F23">
        <v>50</v>
      </c>
      <c r="G23">
        <v>100000</v>
      </c>
      <c r="H23" s="3">
        <v>52023</v>
      </c>
      <c r="I23" s="3">
        <f t="shared" si="11"/>
        <v>47977</v>
      </c>
      <c r="J23" s="3">
        <v>434215</v>
      </c>
      <c r="K23" s="3">
        <v>416007</v>
      </c>
      <c r="L23" s="9">
        <f t="shared" ref="L23" si="35">H23/G23</f>
        <v>0.52022999999999997</v>
      </c>
      <c r="M23" s="5">
        <f t="shared" ref="M23" si="36">J23/G23</f>
        <v>4.3421500000000002</v>
      </c>
      <c r="N23" s="5">
        <f t="shared" ref="N23" si="37">K23/G23</f>
        <v>4.1600700000000002</v>
      </c>
      <c r="O23" s="5">
        <f t="shared" ref="O23" si="38">(L23-$L$7)*162</f>
        <v>3.0385799999999961</v>
      </c>
      <c r="P23" s="4">
        <f t="shared" ref="P23" si="39">-(N23-$N$7)*162</f>
        <v>29.140020000000039</v>
      </c>
    </row>
    <row r="24" spans="1:16" x14ac:dyDescent="0.5">
      <c r="A24" t="s">
        <v>110</v>
      </c>
      <c r="B24" t="str">
        <f t="shared" si="4"/>
        <v>RNG60xERR60xARM75xTDP50</v>
      </c>
      <c r="C24">
        <v>60</v>
      </c>
      <c r="D24">
        <v>60</v>
      </c>
      <c r="E24">
        <v>75</v>
      </c>
      <c r="F24">
        <v>50</v>
      </c>
      <c r="G24">
        <v>100000</v>
      </c>
      <c r="H24" s="3">
        <v>52028</v>
      </c>
      <c r="I24" s="3">
        <f t="shared" si="11"/>
        <v>47972</v>
      </c>
      <c r="J24" s="3">
        <v>434563</v>
      </c>
      <c r="K24" s="3">
        <v>414357</v>
      </c>
      <c r="L24" s="9">
        <f t="shared" ref="L24" si="40">H24/G24</f>
        <v>0.52027999999999996</v>
      </c>
      <c r="M24" s="5">
        <f>J24/G24</f>
        <v>4.3456299999999999</v>
      </c>
      <c r="N24" s="5">
        <f t="shared" ref="N24" si="41">K24/G24</f>
        <v>4.1435700000000004</v>
      </c>
      <c r="O24" s="5">
        <f t="shared" ref="O24" si="42">(L24-$L$7)*162</f>
        <v>3.0466799999999954</v>
      </c>
      <c r="P24" s="4">
        <f t="shared" ref="P24" si="43">-(N24-$N$7)*162</f>
        <v>31.813019999999995</v>
      </c>
    </row>
    <row r="25" spans="1:16" x14ac:dyDescent="0.5">
      <c r="A25" t="s">
        <v>110</v>
      </c>
      <c r="B25" t="str">
        <f t="shared" si="4"/>
        <v>RNG60xERR60xARM55xTDP45</v>
      </c>
      <c r="C25">
        <v>60</v>
      </c>
      <c r="D25">
        <v>60</v>
      </c>
      <c r="E25">
        <v>55</v>
      </c>
      <c r="F25">
        <v>45</v>
      </c>
      <c r="G25">
        <v>100000</v>
      </c>
      <c r="H25" s="3">
        <v>49737</v>
      </c>
      <c r="I25" s="3">
        <f t="shared" si="11"/>
        <v>50263</v>
      </c>
      <c r="J25" s="3">
        <v>432591</v>
      </c>
      <c r="K25" s="3">
        <v>436529</v>
      </c>
      <c r="L25" s="9">
        <f t="shared" ref="L25:L30" si="44">H25/G25</f>
        <v>0.49736999999999998</v>
      </c>
      <c r="M25" s="5">
        <f t="shared" ref="M25:M30" si="45">J25/G25</f>
        <v>4.3259100000000004</v>
      </c>
      <c r="N25" s="5">
        <f t="shared" ref="N25:N30" si="46">K25/G25</f>
        <v>4.3652899999999999</v>
      </c>
      <c r="O25" s="5">
        <f t="shared" ref="O25:O30" si="47">(L25-$L$7)*162</f>
        <v>-0.66474000000000233</v>
      </c>
      <c r="P25" s="4">
        <f t="shared" ref="P25:P30" si="48">-(N25-$N$7)*162</f>
        <v>-4.1056199999999183</v>
      </c>
    </row>
    <row r="26" spans="1:16" x14ac:dyDescent="0.5">
      <c r="A26" t="s">
        <v>110</v>
      </c>
      <c r="B26" t="str">
        <f t="shared" si="4"/>
        <v>RNG60xERR60xARM55xTDP55</v>
      </c>
      <c r="C26">
        <v>60</v>
      </c>
      <c r="D26">
        <v>60</v>
      </c>
      <c r="E26">
        <v>55</v>
      </c>
      <c r="F26">
        <v>55</v>
      </c>
      <c r="G26">
        <v>100000</v>
      </c>
      <c r="H26" s="3">
        <v>49866</v>
      </c>
      <c r="I26" s="3">
        <f t="shared" si="11"/>
        <v>50134</v>
      </c>
      <c r="J26" s="3">
        <v>433556</v>
      </c>
      <c r="K26" s="3">
        <v>434460</v>
      </c>
      <c r="L26" s="9">
        <f t="shared" si="44"/>
        <v>0.49865999999999999</v>
      </c>
      <c r="M26" s="5">
        <f t="shared" si="45"/>
        <v>4.3355600000000001</v>
      </c>
      <c r="N26" s="5">
        <f t="shared" si="46"/>
        <v>4.3445999999999998</v>
      </c>
      <c r="O26" s="5">
        <f t="shared" si="47"/>
        <v>-0.45576000000000016</v>
      </c>
      <c r="P26" s="4">
        <f t="shared" si="48"/>
        <v>-0.75383999999990259</v>
      </c>
    </row>
    <row r="27" spans="1:16" x14ac:dyDescent="0.5">
      <c r="A27" t="s">
        <v>110</v>
      </c>
      <c r="B27" t="str">
        <f t="shared" si="4"/>
        <v>RNG60xERR60xARM55xTDP60</v>
      </c>
      <c r="C27">
        <v>60</v>
      </c>
      <c r="D27">
        <v>60</v>
      </c>
      <c r="E27">
        <v>55</v>
      </c>
      <c r="F27">
        <v>60</v>
      </c>
      <c r="G27">
        <v>100000</v>
      </c>
      <c r="H27" s="3">
        <v>50181</v>
      </c>
      <c r="I27" s="3">
        <f t="shared" si="11"/>
        <v>49819</v>
      </c>
      <c r="J27" s="3">
        <v>433240</v>
      </c>
      <c r="K27" s="3">
        <v>433025</v>
      </c>
      <c r="L27" s="9">
        <f t="shared" si="44"/>
        <v>0.50180999999999998</v>
      </c>
      <c r="M27" s="5">
        <f t="shared" si="45"/>
        <v>4.3323999999999998</v>
      </c>
      <c r="N27" s="5">
        <f t="shared" si="46"/>
        <v>4.3302500000000004</v>
      </c>
      <c r="O27" s="5">
        <f t="shared" si="47"/>
        <v>5.453999999999759E-2</v>
      </c>
      <c r="P27" s="4">
        <f t="shared" si="48"/>
        <v>1.5708600000000033</v>
      </c>
    </row>
    <row r="28" spans="1:16" x14ac:dyDescent="0.5">
      <c r="A28" t="s">
        <v>110</v>
      </c>
      <c r="B28" t="str">
        <f t="shared" si="4"/>
        <v>RNG60xERR60xARM55xTDP65</v>
      </c>
      <c r="C28">
        <v>60</v>
      </c>
      <c r="D28">
        <v>60</v>
      </c>
      <c r="E28">
        <v>55</v>
      </c>
      <c r="F28">
        <v>65</v>
      </c>
      <c r="G28">
        <v>100000</v>
      </c>
      <c r="H28" s="3">
        <v>50209</v>
      </c>
      <c r="I28" s="3">
        <f t="shared" si="11"/>
        <v>49791</v>
      </c>
      <c r="J28" s="3">
        <v>435160</v>
      </c>
      <c r="K28" s="3">
        <v>432998</v>
      </c>
      <c r="L28" s="9">
        <f t="shared" si="44"/>
        <v>0.50209000000000004</v>
      </c>
      <c r="M28" s="5">
        <f t="shared" si="45"/>
        <v>4.3516000000000004</v>
      </c>
      <c r="N28" s="5">
        <f t="shared" si="46"/>
        <v>4.3299799999999999</v>
      </c>
      <c r="O28" s="5">
        <f t="shared" si="47"/>
        <v>9.9900000000006983E-2</v>
      </c>
      <c r="P28" s="4">
        <f t="shared" si="48"/>
        <v>1.614600000000074</v>
      </c>
    </row>
    <row r="29" spans="1:16" x14ac:dyDescent="0.5">
      <c r="A29" t="s">
        <v>110</v>
      </c>
      <c r="B29" t="str">
        <f t="shared" si="4"/>
        <v>RNG60xERR60xARM55xTDP70</v>
      </c>
      <c r="C29">
        <v>60</v>
      </c>
      <c r="D29">
        <v>60</v>
      </c>
      <c r="E29">
        <v>55</v>
      </c>
      <c r="F29">
        <v>70</v>
      </c>
      <c r="G29">
        <v>100000</v>
      </c>
      <c r="H29" s="3">
        <v>50339</v>
      </c>
      <c r="I29" s="3">
        <f t="shared" si="11"/>
        <v>49661</v>
      </c>
      <c r="J29" s="3">
        <v>434837</v>
      </c>
      <c r="K29" s="3">
        <v>433742</v>
      </c>
      <c r="L29" s="9">
        <f t="shared" si="44"/>
        <v>0.50339</v>
      </c>
      <c r="M29" s="5">
        <f t="shared" si="45"/>
        <v>4.3483700000000001</v>
      </c>
      <c r="N29" s="5">
        <f t="shared" si="46"/>
        <v>4.3374199999999998</v>
      </c>
      <c r="O29" s="5">
        <f t="shared" si="47"/>
        <v>0.31050000000000177</v>
      </c>
      <c r="P29" s="4">
        <f t="shared" si="48"/>
        <v>0.40932000000009161</v>
      </c>
    </row>
    <row r="30" spans="1:16" x14ac:dyDescent="0.5">
      <c r="A30" t="s">
        <v>110</v>
      </c>
      <c r="B30" t="str">
        <f t="shared" si="4"/>
        <v>RNG60xERR60xARM55xTDP75</v>
      </c>
      <c r="C30">
        <v>60</v>
      </c>
      <c r="D30">
        <v>60</v>
      </c>
      <c r="E30">
        <v>55</v>
      </c>
      <c r="F30">
        <v>75</v>
      </c>
      <c r="G30">
        <v>100000</v>
      </c>
      <c r="H30" s="3">
        <v>50171</v>
      </c>
      <c r="I30" s="3">
        <f t="shared" si="11"/>
        <v>49829</v>
      </c>
      <c r="J30" s="3">
        <v>435053</v>
      </c>
      <c r="K30" s="3">
        <v>433483</v>
      </c>
      <c r="L30" s="9">
        <f t="shared" si="44"/>
        <v>0.50170999999999999</v>
      </c>
      <c r="M30" s="5">
        <f t="shared" si="45"/>
        <v>4.35053</v>
      </c>
      <c r="N30" s="5">
        <f t="shared" si="46"/>
        <v>4.3348300000000002</v>
      </c>
      <c r="O30" s="5">
        <f t="shared" si="47"/>
        <v>3.8339999999999375E-2</v>
      </c>
      <c r="P30" s="4">
        <f t="shared" si="48"/>
        <v>0.82890000000003461</v>
      </c>
    </row>
    <row r="31" spans="1:16" x14ac:dyDescent="0.5">
      <c r="A31" t="s">
        <v>110</v>
      </c>
      <c r="B31" t="str">
        <f t="shared" si="4"/>
        <v>RNG70xERR70xARM70xTDP70</v>
      </c>
      <c r="C31">
        <v>70</v>
      </c>
      <c r="D31">
        <v>70</v>
      </c>
      <c r="E31">
        <v>70</v>
      </c>
      <c r="F31">
        <v>70</v>
      </c>
      <c r="G31">
        <v>100000</v>
      </c>
      <c r="H31" s="3">
        <v>52719</v>
      </c>
      <c r="I31" s="3">
        <f t="shared" si="11"/>
        <v>47281</v>
      </c>
      <c r="J31" s="3">
        <v>435414</v>
      </c>
      <c r="K31" s="3">
        <v>408576</v>
      </c>
      <c r="L31" s="9">
        <f t="shared" ref="L31" si="49">H31/G31</f>
        <v>0.52719000000000005</v>
      </c>
      <c r="M31" s="5">
        <f t="shared" ref="M31" si="50">J31/G31</f>
        <v>4.3541400000000001</v>
      </c>
      <c r="N31" s="5">
        <f t="shared" ref="N31" si="51">K31/G31</f>
        <v>4.0857599999999996</v>
      </c>
      <c r="O31" s="5">
        <f t="shared" ref="O31" si="52">(L31-$L$7)*162</f>
        <v>4.166100000000009</v>
      </c>
      <c r="P31" s="4">
        <f t="shared" ref="P31" si="53">-(N31-$N$7)*162</f>
        <v>41.17824000000013</v>
      </c>
    </row>
    <row r="32" spans="1:16" x14ac:dyDescent="0.5">
      <c r="A32" t="s">
        <v>110</v>
      </c>
      <c r="B32" t="str">
        <f t="shared" si="4"/>
        <v>RNG70xERR70xARM55xTDP50</v>
      </c>
      <c r="C32">
        <v>70</v>
      </c>
      <c r="D32">
        <v>70</v>
      </c>
      <c r="E32">
        <v>55</v>
      </c>
      <c r="F32">
        <v>50</v>
      </c>
      <c r="G32">
        <v>100000</v>
      </c>
      <c r="H32" s="3">
        <v>52241</v>
      </c>
      <c r="I32" s="3">
        <f t="shared" si="11"/>
        <v>47759</v>
      </c>
      <c r="J32" s="3">
        <v>434638</v>
      </c>
      <c r="K32" s="3">
        <v>412461</v>
      </c>
      <c r="L32" s="9">
        <f t="shared" ref="L32:L37" si="54">H32/G32</f>
        <v>0.52241000000000004</v>
      </c>
      <c r="M32" s="5">
        <f t="shared" ref="M32:M37" si="55">J32/G32</f>
        <v>4.3463799999999999</v>
      </c>
      <c r="N32" s="5">
        <f t="shared" ref="N32:N37" si="56">K32/G32</f>
        <v>4.1246099999999997</v>
      </c>
      <c r="O32" s="5">
        <f t="shared" ref="O32:O37" si="57">(L32-$L$7)*162</f>
        <v>3.3917400000000075</v>
      </c>
      <c r="P32" s="4">
        <f t="shared" ref="P32:P37" si="58">-(N32-$N$7)*162</f>
        <v>34.884540000000115</v>
      </c>
    </row>
    <row r="33" spans="1:16" x14ac:dyDescent="0.5">
      <c r="A33" t="s">
        <v>110</v>
      </c>
      <c r="B33" t="str">
        <f t="shared" si="4"/>
        <v>RNG70xERR60xARM70xTDP50</v>
      </c>
      <c r="C33">
        <v>70</v>
      </c>
      <c r="D33">
        <v>60</v>
      </c>
      <c r="E33">
        <v>70</v>
      </c>
      <c r="F33">
        <v>50</v>
      </c>
      <c r="G33">
        <v>100000</v>
      </c>
      <c r="H33" s="3">
        <v>52055</v>
      </c>
      <c r="I33" s="3">
        <f t="shared" si="11"/>
        <v>47945</v>
      </c>
      <c r="J33" s="3">
        <v>433923</v>
      </c>
      <c r="K33" s="3">
        <v>414390</v>
      </c>
      <c r="L33" s="9">
        <f t="shared" si="54"/>
        <v>0.52054999999999996</v>
      </c>
      <c r="M33" s="5">
        <f t="shared" si="55"/>
        <v>4.3392299999999997</v>
      </c>
      <c r="N33" s="5">
        <f t="shared" si="56"/>
        <v>4.1439000000000004</v>
      </c>
      <c r="O33" s="5">
        <f t="shared" si="57"/>
        <v>3.0904199999999942</v>
      </c>
      <c r="P33" s="4">
        <f t="shared" si="58"/>
        <v>31.759560000000008</v>
      </c>
    </row>
    <row r="34" spans="1:16" x14ac:dyDescent="0.5">
      <c r="A34" t="s">
        <v>110</v>
      </c>
      <c r="B34" t="str">
        <f t="shared" si="4"/>
        <v>RNG70xERR60xARM55xTDP70</v>
      </c>
      <c r="C34">
        <v>70</v>
      </c>
      <c r="D34">
        <v>60</v>
      </c>
      <c r="E34">
        <v>55</v>
      </c>
      <c r="F34">
        <v>70</v>
      </c>
      <c r="G34">
        <v>100000</v>
      </c>
      <c r="H34" s="3">
        <v>52039</v>
      </c>
      <c r="I34" s="3">
        <f t="shared" si="11"/>
        <v>47961</v>
      </c>
      <c r="J34" s="3">
        <v>432802</v>
      </c>
      <c r="K34" s="3">
        <v>413505</v>
      </c>
      <c r="L34" s="9">
        <f t="shared" si="54"/>
        <v>0.52039000000000002</v>
      </c>
      <c r="M34" s="5">
        <f t="shared" si="55"/>
        <v>4.3280200000000004</v>
      </c>
      <c r="N34" s="5">
        <f t="shared" si="56"/>
        <v>4.1350499999999997</v>
      </c>
      <c r="O34" s="5">
        <f t="shared" si="57"/>
        <v>3.0645000000000042</v>
      </c>
      <c r="P34" s="4">
        <f t="shared" si="58"/>
        <v>33.193260000000116</v>
      </c>
    </row>
    <row r="35" spans="1:16" x14ac:dyDescent="0.5">
      <c r="A35" t="s">
        <v>110</v>
      </c>
      <c r="B35" t="str">
        <f t="shared" si="4"/>
        <v>RNG60xERR70xARM70xTDP50</v>
      </c>
      <c r="C35">
        <v>60</v>
      </c>
      <c r="D35">
        <v>70</v>
      </c>
      <c r="E35">
        <v>70</v>
      </c>
      <c r="F35">
        <v>50</v>
      </c>
      <c r="G35">
        <v>100000</v>
      </c>
      <c r="H35" s="3">
        <v>52550</v>
      </c>
      <c r="I35" s="3">
        <f t="shared" si="11"/>
        <v>47450</v>
      </c>
      <c r="J35" s="3">
        <v>435180</v>
      </c>
      <c r="K35" s="3">
        <v>412016</v>
      </c>
      <c r="L35" s="9">
        <f t="shared" si="54"/>
        <v>0.52549999999999997</v>
      </c>
      <c r="M35" s="5">
        <f t="shared" si="55"/>
        <v>4.3517999999999999</v>
      </c>
      <c r="N35" s="5">
        <f t="shared" si="56"/>
        <v>4.1201600000000003</v>
      </c>
      <c r="O35" s="5">
        <f t="shared" si="57"/>
        <v>3.8923199999999958</v>
      </c>
      <c r="P35" s="4">
        <f t="shared" si="58"/>
        <v>35.605440000000023</v>
      </c>
    </row>
    <row r="36" spans="1:16" x14ac:dyDescent="0.5">
      <c r="A36" t="s">
        <v>110</v>
      </c>
      <c r="B36" t="str">
        <f t="shared" si="4"/>
        <v>RNG60xERR70xARM55xTDP70</v>
      </c>
      <c r="C36">
        <v>60</v>
      </c>
      <c r="D36">
        <v>70</v>
      </c>
      <c r="E36">
        <v>55</v>
      </c>
      <c r="F36">
        <v>70</v>
      </c>
      <c r="G36">
        <v>100000</v>
      </c>
      <c r="H36" s="3">
        <v>50255</v>
      </c>
      <c r="I36" s="3">
        <f t="shared" si="11"/>
        <v>49745</v>
      </c>
      <c r="J36" s="3">
        <v>433585</v>
      </c>
      <c r="K36" s="3">
        <v>431257</v>
      </c>
      <c r="L36" s="9">
        <f t="shared" si="54"/>
        <v>0.50255000000000005</v>
      </c>
      <c r="M36" s="5">
        <f t="shared" si="55"/>
        <v>4.3358499999999998</v>
      </c>
      <c r="N36" s="5">
        <f t="shared" si="56"/>
        <v>4.31257</v>
      </c>
      <c r="O36" s="5">
        <f t="shared" si="57"/>
        <v>0.17442000000000957</v>
      </c>
      <c r="P36" s="4">
        <f t="shared" si="58"/>
        <v>4.4350200000000619</v>
      </c>
    </row>
    <row r="37" spans="1:16" x14ac:dyDescent="0.5">
      <c r="A37" t="s">
        <v>110</v>
      </c>
      <c r="B37" t="str">
        <f t="shared" si="4"/>
        <v>RNG60xERR60xARM70xTDP70</v>
      </c>
      <c r="C37">
        <v>60</v>
      </c>
      <c r="D37">
        <v>60</v>
      </c>
      <c r="E37">
        <v>70</v>
      </c>
      <c r="F37">
        <v>70</v>
      </c>
      <c r="G37">
        <v>100000</v>
      </c>
      <c r="H37" s="3">
        <v>52145</v>
      </c>
      <c r="I37" s="3">
        <f t="shared" si="11"/>
        <v>47855</v>
      </c>
      <c r="J37" s="3">
        <v>433521</v>
      </c>
      <c r="K37" s="3">
        <v>413565</v>
      </c>
      <c r="L37" s="9">
        <f t="shared" si="54"/>
        <v>0.52144999999999997</v>
      </c>
      <c r="M37" s="5">
        <f t="shared" si="55"/>
        <v>4.33521</v>
      </c>
      <c r="N37" s="5">
        <f t="shared" si="56"/>
        <v>4.13565</v>
      </c>
      <c r="O37" s="5">
        <f t="shared" si="57"/>
        <v>3.2362199999999959</v>
      </c>
      <c r="P37" s="4">
        <f t="shared" si="58"/>
        <v>33.096060000000058</v>
      </c>
    </row>
    <row r="38" spans="1:16" x14ac:dyDescent="0.5">
      <c r="A38" t="s">
        <v>110</v>
      </c>
      <c r="B38" t="str">
        <f t="shared" si="4"/>
        <v>RNG50xERR60xARM50xTDP50</v>
      </c>
      <c r="C38">
        <v>50</v>
      </c>
      <c r="D38">
        <v>60</v>
      </c>
      <c r="E38">
        <v>50</v>
      </c>
      <c r="F38">
        <v>50</v>
      </c>
      <c r="G38">
        <v>100000</v>
      </c>
      <c r="H38" s="3">
        <v>49246</v>
      </c>
      <c r="I38" s="3">
        <f t="shared" si="11"/>
        <v>50754</v>
      </c>
      <c r="J38" s="3">
        <v>433184</v>
      </c>
      <c r="K38" s="3">
        <v>441456</v>
      </c>
      <c r="L38" s="9">
        <f t="shared" ref="L38:L39" si="59">H38/G38</f>
        <v>0.49246000000000001</v>
      </c>
      <c r="M38" s="5">
        <f t="shared" ref="M38" si="60">J38/G38</f>
        <v>4.3318399999999997</v>
      </c>
      <c r="N38" s="5">
        <f t="shared" ref="N38" si="61">K38/G38</f>
        <v>4.4145599999999998</v>
      </c>
      <c r="O38" s="5">
        <f t="shared" ref="O38" si="62">(L38-$L$7)*162</f>
        <v>-1.4601599999999975</v>
      </c>
      <c r="P38" s="4">
        <f t="shared" ref="P38" si="63">-(N38-$N$7)*162</f>
        <v>-12.087359999999906</v>
      </c>
    </row>
    <row r="39" spans="1:16" x14ac:dyDescent="0.5">
      <c r="A39" t="s">
        <v>110</v>
      </c>
      <c r="B39" t="str">
        <f t="shared" si="4"/>
        <v>RNG70xERR60xARM50xTDP50</v>
      </c>
      <c r="C39">
        <v>70</v>
      </c>
      <c r="D39">
        <v>60</v>
      </c>
      <c r="E39">
        <v>50</v>
      </c>
      <c r="F39">
        <v>50</v>
      </c>
      <c r="G39">
        <v>100000</v>
      </c>
      <c r="H39" s="3">
        <v>52265</v>
      </c>
      <c r="I39" s="3">
        <f t="shared" si="11"/>
        <v>47735</v>
      </c>
      <c r="J39" s="3">
        <v>434611</v>
      </c>
      <c r="K39" s="3">
        <v>413386</v>
      </c>
      <c r="L39" s="9">
        <f t="shared" si="59"/>
        <v>0.52264999999999995</v>
      </c>
      <c r="M39" s="5">
        <f t="shared" ref="M39" si="64">J39/G39</f>
        <v>4.3461100000000004</v>
      </c>
      <c r="N39" s="5">
        <f t="shared" ref="N39" si="65">K39/G39</f>
        <v>4.1338600000000003</v>
      </c>
      <c r="O39" s="5">
        <f t="shared" ref="O39" si="66">(L39-$L$7)*162</f>
        <v>3.4306199999999927</v>
      </c>
      <c r="P39" s="4">
        <f t="shared" ref="P39" si="67">-(N39-$N$7)*162</f>
        <v>33.386040000000015</v>
      </c>
    </row>
    <row r="40" spans="1:16" x14ac:dyDescent="0.5">
      <c r="A40" t="s">
        <v>110</v>
      </c>
      <c r="B40" t="str">
        <f t="shared" si="4"/>
        <v>RNG40xERR60xARM40xTDP50</v>
      </c>
      <c r="C40">
        <v>40</v>
      </c>
      <c r="D40">
        <v>60</v>
      </c>
      <c r="E40">
        <v>40</v>
      </c>
      <c r="F40">
        <v>50</v>
      </c>
      <c r="G40">
        <v>100000</v>
      </c>
      <c r="H40" s="3">
        <v>49634</v>
      </c>
      <c r="I40" s="3">
        <f t="shared" si="11"/>
        <v>50366</v>
      </c>
      <c r="J40" s="3">
        <v>434504</v>
      </c>
      <c r="K40" s="3">
        <v>439028</v>
      </c>
      <c r="L40" s="9">
        <f t="shared" ref="L40" si="68">H40/G40</f>
        <v>0.49634</v>
      </c>
      <c r="M40" s="5">
        <f t="shared" ref="M40" si="69">J40/G40</f>
        <v>4.34504</v>
      </c>
      <c r="N40" s="5">
        <f t="shared" ref="N40" si="70">K40/G40</f>
        <v>4.3902799999999997</v>
      </c>
      <c r="O40" s="5">
        <f t="shared" ref="O40" si="71">(L40-$L$7)*162</f>
        <v>-0.83159999999999834</v>
      </c>
      <c r="P40" s="4">
        <f t="shared" ref="P40" si="72">-(N40-$N$7)*162</f>
        <v>-8.1539999999998933</v>
      </c>
    </row>
    <row r="41" spans="1:16" x14ac:dyDescent="0.5">
      <c r="A41" t="s">
        <v>110</v>
      </c>
      <c r="B41" t="str">
        <f t="shared" si="4"/>
        <v>RNG45xERR60xARM45xTDP50</v>
      </c>
      <c r="C41">
        <v>45</v>
      </c>
      <c r="D41">
        <v>60</v>
      </c>
      <c r="E41">
        <v>45</v>
      </c>
      <c r="F41">
        <v>50</v>
      </c>
      <c r="G41">
        <v>100000</v>
      </c>
      <c r="H41" s="3">
        <v>49513</v>
      </c>
      <c r="I41" s="3">
        <f t="shared" si="11"/>
        <v>50487</v>
      </c>
      <c r="J41" s="3">
        <v>434082</v>
      </c>
      <c r="K41" s="3">
        <v>439389</v>
      </c>
      <c r="L41" s="9">
        <f t="shared" ref="L41" si="73">H41/G41</f>
        <v>0.49513000000000001</v>
      </c>
      <c r="M41" s="5">
        <f t="shared" ref="M41" si="74">J41/G41</f>
        <v>4.3408199999999999</v>
      </c>
      <c r="N41" s="5">
        <f t="shared" ref="N41" si="75">K41/G41</f>
        <v>4.3938899999999999</v>
      </c>
      <c r="O41" s="5">
        <f t="shared" ref="O41" si="76">(L41-$L$7)*162</f>
        <v>-1.0276199999999966</v>
      </c>
      <c r="P41" s="4">
        <f t="shared" ref="P41" si="77">-(N41-$N$7)*162</f>
        <v>-8.7388199999999117</v>
      </c>
    </row>
    <row r="42" spans="1:16" x14ac:dyDescent="0.5">
      <c r="A42" t="s">
        <v>110</v>
      </c>
      <c r="B42" t="str">
        <f t="shared" si="4"/>
        <v>RNG65xERR60xARM65xTDP50</v>
      </c>
      <c r="C42">
        <v>65</v>
      </c>
      <c r="D42">
        <v>60</v>
      </c>
      <c r="E42">
        <v>65</v>
      </c>
      <c r="F42">
        <v>50</v>
      </c>
      <c r="G42">
        <v>100000</v>
      </c>
      <c r="H42" s="3">
        <v>52106</v>
      </c>
      <c r="I42" s="3">
        <f t="shared" si="11"/>
        <v>47894</v>
      </c>
      <c r="J42" s="3">
        <v>434288</v>
      </c>
      <c r="K42" s="3">
        <v>415068</v>
      </c>
      <c r="L42" s="9">
        <f t="shared" ref="L42" si="78">H42/G42</f>
        <v>0.52105999999999997</v>
      </c>
      <c r="M42" s="5">
        <f t="shared" ref="M42" si="79">J42/G42</f>
        <v>4.3428800000000001</v>
      </c>
      <c r="N42" s="5">
        <f t="shared" ref="N42" si="80">K42/G42</f>
        <v>4.1506800000000004</v>
      </c>
      <c r="O42" s="5">
        <f t="shared" ref="O42" si="81">(L42-$L$7)*162</f>
        <v>3.1730399999999959</v>
      </c>
      <c r="P42" s="4">
        <f t="shared" ref="P42" si="82">-(N42-$N$7)*162</f>
        <v>30.661200000000004</v>
      </c>
    </row>
    <row r="43" spans="1:16" x14ac:dyDescent="0.5">
      <c r="A43" t="s">
        <v>110</v>
      </c>
      <c r="B43" t="str">
        <f t="shared" si="4"/>
        <v>RNG75xERR60xARM75xTDP50</v>
      </c>
      <c r="C43">
        <v>75</v>
      </c>
      <c r="D43">
        <v>60</v>
      </c>
      <c r="E43">
        <v>75</v>
      </c>
      <c r="F43">
        <v>50</v>
      </c>
      <c r="G43">
        <v>100000</v>
      </c>
      <c r="H43" s="3">
        <v>52581</v>
      </c>
      <c r="I43" s="3">
        <f t="shared" si="11"/>
        <v>47419</v>
      </c>
      <c r="J43" s="3">
        <v>433945</v>
      </c>
      <c r="K43" s="3">
        <v>411619</v>
      </c>
      <c r="L43" s="9">
        <f t="shared" ref="L43" si="83">H43/G43</f>
        <v>0.52581</v>
      </c>
      <c r="M43" s="5">
        <f t="shared" ref="M43" si="84">J43/G43</f>
        <v>4.3394500000000003</v>
      </c>
      <c r="N43" s="5">
        <f t="shared" ref="N43" si="85">K43/G43</f>
        <v>4.1161899999999996</v>
      </c>
      <c r="O43" s="5">
        <f t="shared" ref="O43" si="86">(L43-$L$7)*162</f>
        <v>3.942540000000001</v>
      </c>
      <c r="P43" s="4">
        <f t="shared" ref="P43" si="87">-(N43-$N$7)*162</f>
        <v>36.248580000000132</v>
      </c>
    </row>
    <row r="44" spans="1:16" x14ac:dyDescent="0.5">
      <c r="A44" t="s">
        <v>110</v>
      </c>
      <c r="B44" t="str">
        <f t="shared" si="4"/>
        <v>RNG65xERR60xARM70xTDP50</v>
      </c>
      <c r="C44">
        <v>65</v>
      </c>
      <c r="D44">
        <v>60</v>
      </c>
      <c r="E44">
        <v>70</v>
      </c>
      <c r="F44">
        <v>50</v>
      </c>
      <c r="G44">
        <v>100000</v>
      </c>
      <c r="H44" s="3">
        <v>52111</v>
      </c>
      <c r="I44" s="3">
        <f t="shared" si="11"/>
        <v>47889</v>
      </c>
      <c r="J44" s="3">
        <v>432753</v>
      </c>
      <c r="K44" s="3">
        <v>412406</v>
      </c>
      <c r="L44" s="9">
        <f t="shared" ref="L44" si="88">H44/G44</f>
        <v>0.52110999999999996</v>
      </c>
      <c r="M44" s="5">
        <f t="shared" ref="M44" si="89">J44/G44</f>
        <v>4.3275300000000003</v>
      </c>
      <c r="N44" s="5">
        <f t="shared" ref="N44" si="90">K44/G44</f>
        <v>4.1240600000000001</v>
      </c>
      <c r="O44" s="5">
        <f t="shared" ref="O44" si="91">(L44-$L$7)*162</f>
        <v>3.1811399999999947</v>
      </c>
      <c r="P44" s="4">
        <f t="shared" ref="P44" si="92">-(N44-$N$7)*162</f>
        <v>34.973640000000053</v>
      </c>
    </row>
    <row r="45" spans="1:16" x14ac:dyDescent="0.5">
      <c r="A45" t="s">
        <v>110</v>
      </c>
      <c r="B45" t="str">
        <f t="shared" si="4"/>
        <v>RNG70xERR60xARM65xTDP50</v>
      </c>
      <c r="C45">
        <v>70</v>
      </c>
      <c r="D45">
        <v>60</v>
      </c>
      <c r="E45">
        <v>65</v>
      </c>
      <c r="F45">
        <v>50</v>
      </c>
      <c r="G45">
        <v>100000</v>
      </c>
      <c r="H45" s="3">
        <v>52052</v>
      </c>
      <c r="I45" s="3">
        <f t="shared" si="11"/>
        <v>47948</v>
      </c>
      <c r="J45" s="3">
        <v>433072</v>
      </c>
      <c r="K45" s="3">
        <v>413777</v>
      </c>
      <c r="L45" s="9">
        <f t="shared" ref="L45" si="93">H45/G45</f>
        <v>0.52051999999999998</v>
      </c>
      <c r="M45" s="5">
        <f t="shared" ref="M45" si="94">J45/G45</f>
        <v>4.3307200000000003</v>
      </c>
      <c r="N45" s="5">
        <f t="shared" ref="N45" si="95">K45/G45</f>
        <v>4.1377699999999997</v>
      </c>
      <c r="O45" s="5">
        <f t="shared" ref="O45" si="96">(L45-$L$7)*162</f>
        <v>3.0855599999999983</v>
      </c>
      <c r="P45" s="4">
        <f t="shared" ref="P45" si="97">-(N45-$N$7)*162</f>
        <v>32.752620000000107</v>
      </c>
    </row>
    <row r="46" spans="1:16" x14ac:dyDescent="0.5">
      <c r="A46" t="s">
        <v>110</v>
      </c>
      <c r="B46" t="str">
        <f t="shared" si="4"/>
        <v>RNG65xERR60xARM75xTDP50</v>
      </c>
      <c r="C46">
        <v>65</v>
      </c>
      <c r="D46">
        <v>60</v>
      </c>
      <c r="E46">
        <v>75</v>
      </c>
      <c r="F46">
        <v>50</v>
      </c>
      <c r="G46">
        <v>100000</v>
      </c>
      <c r="H46" s="3">
        <v>52349</v>
      </c>
      <c r="I46" s="3">
        <f t="shared" si="11"/>
        <v>47651</v>
      </c>
      <c r="J46" s="3">
        <v>435520</v>
      </c>
      <c r="K46" s="3">
        <v>412531</v>
      </c>
      <c r="L46" s="9">
        <f t="shared" ref="L46" si="98">H46/G46</f>
        <v>0.52349000000000001</v>
      </c>
      <c r="M46" s="5">
        <f t="shared" ref="M46" si="99">J46/G46</f>
        <v>4.3552</v>
      </c>
      <c r="N46" s="5">
        <f t="shared" ref="N46" si="100">K46/G46</f>
        <v>4.1253099999999998</v>
      </c>
      <c r="O46" s="5">
        <f t="shared" ref="O46" si="101">(L46-$L$7)*162</f>
        <v>3.5667000000000026</v>
      </c>
      <c r="P46" s="4">
        <f t="shared" ref="P46" si="102">-(N46-$N$7)*162</f>
        <v>34.771140000000095</v>
      </c>
    </row>
    <row r="47" spans="1:16" x14ac:dyDescent="0.5">
      <c r="A47" t="s">
        <v>110</v>
      </c>
      <c r="B47" t="str">
        <f t="shared" si="4"/>
        <v>RNG70xERR60xARM75xTDP50</v>
      </c>
      <c r="C47">
        <v>70</v>
      </c>
      <c r="D47">
        <v>60</v>
      </c>
      <c r="E47">
        <v>75</v>
      </c>
      <c r="F47">
        <v>50</v>
      </c>
      <c r="G47">
        <v>100000</v>
      </c>
      <c r="H47" s="3">
        <v>52016</v>
      </c>
      <c r="I47" s="3">
        <f t="shared" si="11"/>
        <v>47984</v>
      </c>
      <c r="J47" s="3">
        <v>432978</v>
      </c>
      <c r="K47" s="3">
        <v>413830</v>
      </c>
      <c r="L47" s="9">
        <f t="shared" ref="L47" si="103">H47/G47</f>
        <v>0.52015999999999996</v>
      </c>
      <c r="M47" s="5">
        <f t="shared" ref="M47" si="104">J47/G47</f>
        <v>4.3297800000000004</v>
      </c>
      <c r="N47" s="5">
        <f t="shared" ref="N47" si="105">K47/G47</f>
        <v>4.1383000000000001</v>
      </c>
      <c r="O47" s="5">
        <f t="shared" ref="O47" si="106">(L47-$L$7)*162</f>
        <v>3.0272399999999937</v>
      </c>
      <c r="P47" s="4">
        <f t="shared" ref="P47" si="107">-(N47-$N$7)*162</f>
        <v>32.666760000000053</v>
      </c>
    </row>
    <row r="48" spans="1:16" x14ac:dyDescent="0.5">
      <c r="A48" t="s">
        <v>110</v>
      </c>
      <c r="B48" t="str">
        <f t="shared" si="4"/>
        <v>RNG75xERR60xARM70xTDP50</v>
      </c>
      <c r="C48">
        <v>75</v>
      </c>
      <c r="D48">
        <v>60</v>
      </c>
      <c r="E48">
        <v>70</v>
      </c>
      <c r="F48">
        <v>50</v>
      </c>
      <c r="G48">
        <v>100000</v>
      </c>
      <c r="H48" s="3">
        <v>52311</v>
      </c>
      <c r="I48" s="3">
        <f t="shared" si="11"/>
        <v>47689</v>
      </c>
      <c r="J48" s="3">
        <v>434433</v>
      </c>
      <c r="K48" s="3">
        <v>413520</v>
      </c>
      <c r="L48" s="9">
        <f t="shared" ref="L48" si="108">H48/G48</f>
        <v>0.52310999999999996</v>
      </c>
      <c r="M48" s="5">
        <f t="shared" ref="M48" si="109">J48/G48</f>
        <v>4.3443300000000002</v>
      </c>
      <c r="N48" s="5">
        <f t="shared" ref="N48" si="110">K48/G48</f>
        <v>4.1352000000000002</v>
      </c>
      <c r="O48" s="5">
        <f t="shared" ref="O48" si="111">(L48-$L$7)*162</f>
        <v>3.5051399999999955</v>
      </c>
      <c r="P48" s="4">
        <f t="shared" ref="P48" si="112">-(N48-$N$7)*162</f>
        <v>33.168960000000027</v>
      </c>
    </row>
    <row r="49" spans="1:16" x14ac:dyDescent="0.5">
      <c r="A49" t="s">
        <v>110</v>
      </c>
      <c r="B49" t="str">
        <f t="shared" si="4"/>
        <v>RNG40xERR60xARM70xTDP50</v>
      </c>
      <c r="C49">
        <v>40</v>
      </c>
      <c r="D49">
        <v>60</v>
      </c>
      <c r="E49">
        <v>70</v>
      </c>
      <c r="F49">
        <v>50</v>
      </c>
      <c r="G49">
        <v>100000</v>
      </c>
      <c r="H49" s="3">
        <v>49285</v>
      </c>
      <c r="I49" s="3">
        <f t="shared" si="11"/>
        <v>50715</v>
      </c>
      <c r="J49" s="3">
        <v>433924</v>
      </c>
      <c r="K49" s="3">
        <v>440790</v>
      </c>
      <c r="L49" s="9">
        <f t="shared" ref="L49" si="113">H49/G49</f>
        <v>0.49285000000000001</v>
      </c>
      <c r="M49" s="5">
        <f t="shared" ref="M49" si="114">J49/G49</f>
        <v>4.3392400000000002</v>
      </c>
      <c r="N49" s="5">
        <f t="shared" ref="N49" si="115">K49/G49</f>
        <v>4.4078999999999997</v>
      </c>
      <c r="O49" s="5">
        <f t="shared" ref="O49" si="116">(L49-$L$7)*162</f>
        <v>-1.3969799999999972</v>
      </c>
      <c r="P49" s="4">
        <f t="shared" ref="P49" si="117">-(N49-$N$7)*162</f>
        <v>-11.008439999999888</v>
      </c>
    </row>
    <row r="50" spans="1:16" x14ac:dyDescent="0.5">
      <c r="A50" t="s">
        <v>110</v>
      </c>
      <c r="B50" t="str">
        <f t="shared" si="4"/>
        <v>RNG70xERR60xARM40xTDP50</v>
      </c>
      <c r="C50">
        <v>70</v>
      </c>
      <c r="D50">
        <v>60</v>
      </c>
      <c r="E50">
        <v>40</v>
      </c>
      <c r="F50">
        <v>50</v>
      </c>
      <c r="G50">
        <v>100000</v>
      </c>
      <c r="H50" s="3">
        <v>51624</v>
      </c>
      <c r="I50" s="3">
        <f t="shared" si="11"/>
        <v>48376</v>
      </c>
      <c r="J50" s="3">
        <v>432659</v>
      </c>
      <c r="K50" s="3">
        <v>416399</v>
      </c>
      <c r="L50" s="9">
        <f t="shared" ref="L50" si="118">H50/G50</f>
        <v>0.51624000000000003</v>
      </c>
      <c r="M50" s="5">
        <f t="shared" ref="M50" si="119">J50/G50</f>
        <v>4.3265900000000004</v>
      </c>
      <c r="N50" s="5">
        <f t="shared" ref="N50" si="120">K50/G50</f>
        <v>4.1639900000000001</v>
      </c>
      <c r="O50" s="5">
        <f t="shared" ref="O50" si="121">(L50-$L$7)*162</f>
        <v>2.3922000000000061</v>
      </c>
      <c r="P50" s="4">
        <f t="shared" ref="P50" si="122">-(N50-$N$7)*162</f>
        <v>28.504980000000053</v>
      </c>
    </row>
    <row r="51" spans="1:16" x14ac:dyDescent="0.5">
      <c r="A51" t="s">
        <v>110</v>
      </c>
      <c r="B51" t="str">
        <f t="shared" si="4"/>
        <v>RNG75xERR60xARM40xTDP50</v>
      </c>
      <c r="C51">
        <v>75</v>
      </c>
      <c r="D51">
        <v>60</v>
      </c>
      <c r="E51">
        <v>40</v>
      </c>
      <c r="F51">
        <v>50</v>
      </c>
      <c r="G51">
        <v>100000</v>
      </c>
      <c r="H51" s="3">
        <v>51928</v>
      </c>
      <c r="I51" s="3">
        <f t="shared" si="11"/>
        <v>48072</v>
      </c>
      <c r="J51" s="3">
        <v>433536</v>
      </c>
      <c r="K51" s="3">
        <v>415506</v>
      </c>
      <c r="L51" s="9">
        <f t="shared" ref="L51" si="123">H51/G51</f>
        <v>0.51927999999999996</v>
      </c>
      <c r="M51" s="5">
        <f t="shared" ref="M51" si="124">J51/G51</f>
        <v>4.3353599999999997</v>
      </c>
      <c r="N51" s="5">
        <f t="shared" ref="N51" si="125">K51/G51</f>
        <v>4.1550599999999998</v>
      </c>
      <c r="O51" s="5">
        <f t="shared" ref="O51" si="126">(L51-$L$7)*162</f>
        <v>2.884679999999995</v>
      </c>
      <c r="P51" s="4">
        <f t="shared" ref="P51" si="127">-(N51-$N$7)*162</f>
        <v>29.951640000000104</v>
      </c>
    </row>
    <row r="52" spans="1:16" x14ac:dyDescent="0.5">
      <c r="A52" t="s">
        <v>110</v>
      </c>
      <c r="B52" t="str">
        <f t="shared" si="4"/>
        <v>RNG40xERR60xARM75xTDP50</v>
      </c>
      <c r="C52">
        <v>40</v>
      </c>
      <c r="D52">
        <v>60</v>
      </c>
      <c r="E52">
        <v>75</v>
      </c>
      <c r="F52">
        <v>50</v>
      </c>
      <c r="G52">
        <v>100000</v>
      </c>
      <c r="H52" s="3">
        <v>49548</v>
      </c>
      <c r="I52" s="3">
        <f t="shared" si="11"/>
        <v>50452</v>
      </c>
      <c r="J52" s="3">
        <v>435037</v>
      </c>
      <c r="K52" s="3">
        <v>440020</v>
      </c>
      <c r="L52" s="9">
        <f t="shared" ref="L52" si="128">H52/G52</f>
        <v>0.49547999999999998</v>
      </c>
      <c r="M52" s="5">
        <f t="shared" ref="M52" si="129">J52/G52</f>
        <v>4.3503699999999998</v>
      </c>
      <c r="N52" s="5">
        <f t="shared" ref="N52" si="130">K52/G52</f>
        <v>4.4001999999999999</v>
      </c>
      <c r="O52" s="5">
        <f t="shared" ref="O52" si="131">(L52-$L$7)*162</f>
        <v>-0.97092000000000278</v>
      </c>
      <c r="P52" s="4">
        <f t="shared" ref="P52" si="132">-(N52-$N$7)*162</f>
        <v>-9.7610399999999178</v>
      </c>
    </row>
    <row r="53" spans="1:16" x14ac:dyDescent="0.5">
      <c r="A53" t="s">
        <v>110</v>
      </c>
      <c r="B53" t="str">
        <f t="shared" si="4"/>
        <v>RNG40xERR60xARM65xTDP50</v>
      </c>
      <c r="C53">
        <v>40</v>
      </c>
      <c r="D53">
        <v>60</v>
      </c>
      <c r="E53">
        <v>65</v>
      </c>
      <c r="F53">
        <v>50</v>
      </c>
      <c r="G53">
        <v>100000</v>
      </c>
      <c r="H53" s="3">
        <v>49414</v>
      </c>
      <c r="I53" s="3">
        <f t="shared" si="11"/>
        <v>50586</v>
      </c>
      <c r="J53" s="3">
        <v>433776</v>
      </c>
      <c r="K53" s="3">
        <v>439331</v>
      </c>
      <c r="L53" s="9">
        <f t="shared" ref="L53" si="133">H53/G53</f>
        <v>0.49414000000000002</v>
      </c>
      <c r="M53" s="5">
        <f t="shared" ref="M53" si="134">J53/G53</f>
        <v>4.3377600000000003</v>
      </c>
      <c r="N53" s="5">
        <f t="shared" ref="N53" si="135">K53/G53</f>
        <v>4.3933099999999996</v>
      </c>
      <c r="O53" s="5">
        <f t="shared" ref="O53" si="136">(L53-$L$7)*162</f>
        <v>-1.1879999999999951</v>
      </c>
      <c r="P53" s="4">
        <f t="shared" ref="P53" si="137">-(N53-$N$7)*162</f>
        <v>-8.6448599999998716</v>
      </c>
    </row>
    <row r="54" spans="1:16" x14ac:dyDescent="0.5">
      <c r="A54" t="s">
        <v>110</v>
      </c>
      <c r="B54" t="str">
        <f t="shared" si="4"/>
        <v>RNG50xERR60xARM65xTDP50</v>
      </c>
      <c r="C54">
        <v>50</v>
      </c>
      <c r="D54">
        <v>60</v>
      </c>
      <c r="E54">
        <v>65</v>
      </c>
      <c r="F54">
        <v>50</v>
      </c>
      <c r="G54">
        <v>100000</v>
      </c>
      <c r="H54" s="3">
        <v>49049</v>
      </c>
      <c r="I54" s="3">
        <f t="shared" si="11"/>
        <v>50951</v>
      </c>
      <c r="J54" s="3">
        <v>433556</v>
      </c>
      <c r="K54" s="3">
        <v>442684</v>
      </c>
      <c r="L54" s="9">
        <f t="shared" ref="L54" si="138">H54/G54</f>
        <v>0.49048999999999998</v>
      </c>
      <c r="M54" s="5">
        <f t="shared" ref="M54" si="139">J54/G54</f>
        <v>4.3355600000000001</v>
      </c>
      <c r="N54" s="5">
        <f t="shared" ref="N54" si="140">K54/G54</f>
        <v>4.4268400000000003</v>
      </c>
      <c r="O54" s="5">
        <f t="shared" ref="O54" si="141">(L54-$L$7)*162</f>
        <v>-1.7793000000000019</v>
      </c>
      <c r="P54" s="4">
        <f t="shared" ref="P54" si="142">-(N54-$N$7)*162</f>
        <v>-14.076719999999989</v>
      </c>
    </row>
    <row r="55" spans="1:16" x14ac:dyDescent="0.5">
      <c r="A55" t="s">
        <v>110</v>
      </c>
      <c r="B55" t="str">
        <f t="shared" si="4"/>
        <v>RNG50xERR60xARM70xTDP50</v>
      </c>
      <c r="C55">
        <v>50</v>
      </c>
      <c r="D55">
        <v>60</v>
      </c>
      <c r="E55">
        <v>70</v>
      </c>
      <c r="F55">
        <v>50</v>
      </c>
      <c r="G55">
        <v>100000</v>
      </c>
      <c r="H55" s="3">
        <v>49028</v>
      </c>
      <c r="I55" s="3">
        <f t="shared" si="11"/>
        <v>50972</v>
      </c>
      <c r="J55" s="3">
        <v>433772</v>
      </c>
      <c r="K55" s="3">
        <v>443379</v>
      </c>
      <c r="L55" s="9">
        <f t="shared" ref="L55" si="143">H55/G55</f>
        <v>0.49027999999999999</v>
      </c>
      <c r="M55" s="5">
        <f t="shared" ref="M55" si="144">J55/G55</f>
        <v>4.33772</v>
      </c>
      <c r="N55" s="5">
        <f t="shared" ref="N55" si="145">K55/G55</f>
        <v>4.4337900000000001</v>
      </c>
      <c r="O55" s="5">
        <f t="shared" ref="O55" si="146">(L55-$L$7)*162</f>
        <v>-1.81332</v>
      </c>
      <c r="P55" s="4">
        <f t="shared" ref="P55" si="147">-(N55-$N$7)*162</f>
        <v>-15.202619999999955</v>
      </c>
    </row>
    <row r="56" spans="1:16" x14ac:dyDescent="0.5">
      <c r="A56" t="s">
        <v>110</v>
      </c>
      <c r="B56" t="str">
        <f t="shared" ref="B56:B83" si="148">_xlfn.CONCAT("RNG",C56,"xERR",D56,"xARM",E56,"xTDP",F56)</f>
        <v>RNG50xERR60xARM40xTDP50</v>
      </c>
      <c r="C56">
        <v>50</v>
      </c>
      <c r="D56">
        <v>60</v>
      </c>
      <c r="E56">
        <v>40</v>
      </c>
      <c r="F56">
        <v>50</v>
      </c>
      <c r="G56">
        <v>100000</v>
      </c>
      <c r="H56" s="3">
        <v>49531</v>
      </c>
      <c r="I56" s="3">
        <f t="shared" si="11"/>
        <v>50469</v>
      </c>
      <c r="J56" s="3">
        <v>435008</v>
      </c>
      <c r="K56" s="3">
        <v>438664</v>
      </c>
      <c r="L56" s="9">
        <f t="shared" ref="L56" si="149">H56/G56</f>
        <v>0.49530999999999997</v>
      </c>
      <c r="M56" s="5">
        <f t="shared" ref="M56" si="150">J56/G56</f>
        <v>4.3500800000000002</v>
      </c>
      <c r="N56" s="5">
        <f t="shared" ref="N56" si="151">K56/G56</f>
        <v>4.3866399999999999</v>
      </c>
      <c r="O56" s="5">
        <f t="shared" ref="O56" si="152">(L56-$L$7)*162</f>
        <v>-0.99846000000000334</v>
      </c>
      <c r="P56" s="4">
        <f t="shared" ref="P56" si="153">-(N56-$N$7)*162</f>
        <v>-7.5643199999999151</v>
      </c>
    </row>
    <row r="57" spans="1:16" x14ac:dyDescent="0.5">
      <c r="A57" t="s">
        <v>110</v>
      </c>
      <c r="B57" t="str">
        <f t="shared" si="148"/>
        <v>RNG55xERR60xARM65xTDP50</v>
      </c>
      <c r="C57">
        <v>55</v>
      </c>
      <c r="D57">
        <v>60</v>
      </c>
      <c r="E57">
        <v>65</v>
      </c>
      <c r="F57">
        <v>50</v>
      </c>
      <c r="G57">
        <v>100000</v>
      </c>
      <c r="H57" s="3">
        <v>49499</v>
      </c>
      <c r="I57" s="3">
        <f t="shared" si="11"/>
        <v>50501</v>
      </c>
      <c r="J57" s="3">
        <v>433035</v>
      </c>
      <c r="K57" s="3">
        <v>438234</v>
      </c>
      <c r="L57" s="9">
        <f t="shared" ref="L57:L60" si="154">H57/G57</f>
        <v>0.49498999999999999</v>
      </c>
      <c r="M57" s="5">
        <f t="shared" ref="M57:M60" si="155">J57/G57</f>
        <v>4.3303500000000001</v>
      </c>
      <c r="N57" s="5">
        <f t="shared" ref="N57:N60" si="156">K57/G57</f>
        <v>4.3823400000000001</v>
      </c>
      <c r="O57" s="5">
        <f t="shared" ref="O57:O60" si="157">(L57-$L$7)*162</f>
        <v>-1.0503000000000013</v>
      </c>
      <c r="P57" s="4">
        <f t="shared" ref="P57:P60" si="158">-(N57-$N$7)*162</f>
        <v>-6.8677199999999559</v>
      </c>
    </row>
    <row r="58" spans="1:16" x14ac:dyDescent="0.5">
      <c r="A58" t="s">
        <v>110</v>
      </c>
      <c r="B58" t="str">
        <f t="shared" si="148"/>
        <v>RNG55xERR60xARM70xTDP50</v>
      </c>
      <c r="C58">
        <v>55</v>
      </c>
      <c r="D58">
        <v>60</v>
      </c>
      <c r="E58">
        <v>70</v>
      </c>
      <c r="F58">
        <v>50</v>
      </c>
      <c r="G58">
        <v>100000</v>
      </c>
      <c r="H58" s="3">
        <v>50248</v>
      </c>
      <c r="I58" s="3">
        <f t="shared" si="11"/>
        <v>49752</v>
      </c>
      <c r="J58" s="3">
        <v>435287</v>
      </c>
      <c r="K58" s="3">
        <v>433298</v>
      </c>
      <c r="L58" s="9">
        <f t="shared" si="154"/>
        <v>0.50248000000000004</v>
      </c>
      <c r="M58" s="5">
        <f t="shared" si="155"/>
        <v>4.3528700000000002</v>
      </c>
      <c r="N58" s="5">
        <f t="shared" si="156"/>
        <v>4.3329800000000001</v>
      </c>
      <c r="O58" s="5">
        <f t="shared" si="157"/>
        <v>0.16308000000000722</v>
      </c>
      <c r="P58" s="4">
        <f t="shared" si="158"/>
        <v>1.1286000000000556</v>
      </c>
    </row>
    <row r="59" spans="1:16" x14ac:dyDescent="0.5">
      <c r="A59" t="s">
        <v>110</v>
      </c>
      <c r="B59" t="str">
        <f t="shared" si="148"/>
        <v>RNG65xERR60xARM40xTDP50</v>
      </c>
      <c r="C59">
        <v>65</v>
      </c>
      <c r="D59">
        <v>60</v>
      </c>
      <c r="E59">
        <v>40</v>
      </c>
      <c r="F59">
        <v>50</v>
      </c>
      <c r="G59">
        <v>100000</v>
      </c>
      <c r="H59" s="3">
        <v>49812</v>
      </c>
      <c r="I59" s="3">
        <f t="shared" si="11"/>
        <v>50188</v>
      </c>
      <c r="J59" s="3">
        <v>433931</v>
      </c>
      <c r="K59" s="3">
        <v>436798</v>
      </c>
      <c r="L59" s="9">
        <f t="shared" si="154"/>
        <v>0.49812000000000001</v>
      </c>
      <c r="M59" s="5">
        <f t="shared" si="155"/>
        <v>4.3393100000000002</v>
      </c>
      <c r="N59" s="5">
        <f t="shared" si="156"/>
        <v>4.3679800000000002</v>
      </c>
      <c r="O59" s="5">
        <f t="shared" si="157"/>
        <v>-0.54323999999999772</v>
      </c>
      <c r="P59" s="4">
        <f t="shared" si="158"/>
        <v>-4.5413999999999675</v>
      </c>
    </row>
    <row r="60" spans="1:16" x14ac:dyDescent="0.5">
      <c r="A60" t="s">
        <v>110</v>
      </c>
      <c r="B60" t="str">
        <f t="shared" si="148"/>
        <v>RNG65xERR60xARM60xTDP50</v>
      </c>
      <c r="C60">
        <v>65</v>
      </c>
      <c r="D60">
        <v>60</v>
      </c>
      <c r="E60">
        <v>60</v>
      </c>
      <c r="F60">
        <v>50</v>
      </c>
      <c r="G60">
        <v>100000</v>
      </c>
      <c r="H60" s="3">
        <v>52189</v>
      </c>
      <c r="I60" s="3">
        <f t="shared" si="11"/>
        <v>47811</v>
      </c>
      <c r="J60" s="3">
        <v>434658</v>
      </c>
      <c r="K60" s="3">
        <v>413851</v>
      </c>
      <c r="L60" s="9">
        <f t="shared" si="154"/>
        <v>0.52188999999999997</v>
      </c>
      <c r="M60" s="5">
        <f t="shared" si="155"/>
        <v>4.3465800000000003</v>
      </c>
      <c r="N60" s="5">
        <f t="shared" si="156"/>
        <v>4.1385100000000001</v>
      </c>
      <c r="O60" s="5">
        <f t="shared" si="157"/>
        <v>3.3074999999999957</v>
      </c>
      <c r="P60" s="4">
        <f t="shared" si="158"/>
        <v>32.632740000000041</v>
      </c>
    </row>
    <row r="61" spans="1:16" x14ac:dyDescent="0.5">
      <c r="A61" t="s">
        <v>110</v>
      </c>
      <c r="B61" t="str">
        <f t="shared" si="148"/>
        <v>RNG70xERR60xARM45xTDP50</v>
      </c>
      <c r="C61">
        <v>70</v>
      </c>
      <c r="D61">
        <v>60</v>
      </c>
      <c r="E61">
        <v>45</v>
      </c>
      <c r="F61">
        <v>50</v>
      </c>
      <c r="G61">
        <v>100000</v>
      </c>
      <c r="H61" s="3">
        <v>51836</v>
      </c>
      <c r="I61" s="3">
        <f t="shared" si="11"/>
        <v>48164</v>
      </c>
      <c r="J61" s="3">
        <v>432171</v>
      </c>
      <c r="K61" s="3">
        <v>414229</v>
      </c>
      <c r="L61" s="9">
        <f t="shared" ref="L61:L63" si="159">H61/G61</f>
        <v>0.51836000000000004</v>
      </c>
      <c r="M61" s="5">
        <f t="shared" ref="M61:M63" si="160">J61/G61</f>
        <v>4.3217100000000004</v>
      </c>
      <c r="N61" s="5">
        <f t="shared" ref="N61:N63" si="161">K61/G61</f>
        <v>4.14229</v>
      </c>
      <c r="O61" s="5">
        <f t="shared" ref="O61:O63" si="162">(L61-$L$7)*162</f>
        <v>2.7356400000000081</v>
      </c>
      <c r="P61" s="4">
        <f t="shared" ref="P61:P63" si="163">-(N61-$N$7)*162</f>
        <v>32.02038000000006</v>
      </c>
    </row>
    <row r="62" spans="1:16" x14ac:dyDescent="0.5">
      <c r="A62" t="s">
        <v>110</v>
      </c>
      <c r="B62" t="str">
        <f t="shared" si="148"/>
        <v>RNG65xERR60xARM45xTDP50</v>
      </c>
      <c r="C62">
        <v>65</v>
      </c>
      <c r="D62">
        <v>60</v>
      </c>
      <c r="E62">
        <v>45</v>
      </c>
      <c r="F62">
        <v>50</v>
      </c>
      <c r="G62">
        <v>100000</v>
      </c>
      <c r="H62" s="3">
        <v>50250</v>
      </c>
      <c r="I62" s="3">
        <f t="shared" si="11"/>
        <v>49750</v>
      </c>
      <c r="J62" s="3">
        <v>434565</v>
      </c>
      <c r="K62" s="3">
        <v>431161</v>
      </c>
      <c r="L62" s="9">
        <f t="shared" si="159"/>
        <v>0.50249999999999995</v>
      </c>
      <c r="M62" s="5">
        <f t="shared" si="160"/>
        <v>4.34565</v>
      </c>
      <c r="N62" s="5">
        <f t="shared" si="161"/>
        <v>4.3116099999999999</v>
      </c>
      <c r="O62" s="5">
        <f t="shared" si="162"/>
        <v>0.16631999999999247</v>
      </c>
      <c r="P62" s="4">
        <f t="shared" si="163"/>
        <v>4.5905400000000736</v>
      </c>
    </row>
    <row r="63" spans="1:16" x14ac:dyDescent="0.5">
      <c r="A63" t="s">
        <v>110</v>
      </c>
      <c r="B63" t="str">
        <f t="shared" si="148"/>
        <v>RNG65xERR60xARM50xTDP50</v>
      </c>
      <c r="C63">
        <v>65</v>
      </c>
      <c r="D63">
        <v>60</v>
      </c>
      <c r="E63">
        <v>50</v>
      </c>
      <c r="F63">
        <v>50</v>
      </c>
      <c r="G63">
        <v>100000</v>
      </c>
      <c r="H63" s="3">
        <v>51359</v>
      </c>
      <c r="I63" s="3">
        <f t="shared" si="11"/>
        <v>48641</v>
      </c>
      <c r="J63" s="3">
        <v>434075</v>
      </c>
      <c r="K63" s="3">
        <v>419987</v>
      </c>
      <c r="L63" s="9">
        <f t="shared" si="159"/>
        <v>0.51358999999999999</v>
      </c>
      <c r="M63" s="5">
        <f t="shared" si="160"/>
        <v>4.3407499999999999</v>
      </c>
      <c r="N63" s="5">
        <f t="shared" si="161"/>
        <v>4.1998699999999998</v>
      </c>
      <c r="O63" s="5">
        <f t="shared" si="162"/>
        <v>1.9628999999999996</v>
      </c>
      <c r="P63" s="4">
        <f t="shared" si="163"/>
        <v>22.692420000000102</v>
      </c>
    </row>
    <row r="64" spans="1:16" x14ac:dyDescent="0.5">
      <c r="A64" t="s">
        <v>110</v>
      </c>
      <c r="B64" t="str">
        <f t="shared" si="148"/>
        <v>RNG55xERR60xARM40xTDP50</v>
      </c>
      <c r="C64">
        <v>55</v>
      </c>
      <c r="D64">
        <v>60</v>
      </c>
      <c r="E64">
        <v>40</v>
      </c>
      <c r="F64">
        <v>50</v>
      </c>
      <c r="G64">
        <v>100000</v>
      </c>
      <c r="H64" s="3">
        <v>48969</v>
      </c>
      <c r="I64" s="3">
        <f t="shared" si="11"/>
        <v>51031</v>
      </c>
      <c r="J64" s="3">
        <v>432388</v>
      </c>
      <c r="K64" s="3">
        <v>441458</v>
      </c>
      <c r="L64" s="9">
        <f t="shared" ref="L64:L71" si="164">H64/G64</f>
        <v>0.48969000000000001</v>
      </c>
      <c r="M64" s="5">
        <f t="shared" ref="M64:M71" si="165">J64/G64</f>
        <v>4.3238799999999999</v>
      </c>
      <c r="N64" s="5">
        <f t="shared" ref="N64:N71" si="166">K64/G64</f>
        <v>4.4145799999999999</v>
      </c>
      <c r="O64" s="5">
        <f t="shared" ref="O64:O71" si="167">(L64-$L$7)*162</f>
        <v>-1.9088999999999965</v>
      </c>
      <c r="P64" s="4">
        <f t="shared" ref="P64:P71" si="168">-(N64-$N$7)*162</f>
        <v>-12.090599999999927</v>
      </c>
    </row>
    <row r="65" spans="1:16" x14ac:dyDescent="0.5">
      <c r="A65" t="s">
        <v>110</v>
      </c>
      <c r="B65" t="str">
        <f t="shared" si="148"/>
        <v>RNG55xERR60xARM45xTDP50</v>
      </c>
      <c r="C65">
        <v>55</v>
      </c>
      <c r="D65">
        <v>60</v>
      </c>
      <c r="E65">
        <v>45</v>
      </c>
      <c r="F65">
        <v>50</v>
      </c>
      <c r="G65">
        <v>100000</v>
      </c>
      <c r="H65" s="3">
        <v>49299</v>
      </c>
      <c r="I65" s="3">
        <f t="shared" si="11"/>
        <v>50701</v>
      </c>
      <c r="J65" s="3">
        <v>433605</v>
      </c>
      <c r="K65" s="3">
        <v>442501</v>
      </c>
      <c r="L65" s="9">
        <f t="shared" si="164"/>
        <v>0.49298999999999998</v>
      </c>
      <c r="M65" s="5">
        <f t="shared" si="165"/>
        <v>4.3360500000000002</v>
      </c>
      <c r="N65" s="5">
        <f t="shared" si="166"/>
        <v>4.4250100000000003</v>
      </c>
      <c r="O65" s="5">
        <f t="shared" si="167"/>
        <v>-1.3743000000000016</v>
      </c>
      <c r="P65" s="4">
        <f t="shared" si="168"/>
        <v>-13.78025999999999</v>
      </c>
    </row>
    <row r="66" spans="1:16" x14ac:dyDescent="0.5">
      <c r="A66" t="s">
        <v>110</v>
      </c>
      <c r="B66" t="str">
        <f t="shared" si="148"/>
        <v>RNG55xERR60xARM50xTDP50</v>
      </c>
      <c r="C66">
        <v>55</v>
      </c>
      <c r="D66">
        <v>60</v>
      </c>
      <c r="E66">
        <v>50</v>
      </c>
      <c r="F66">
        <v>50</v>
      </c>
      <c r="G66">
        <v>100000</v>
      </c>
      <c r="H66" s="3">
        <v>49352</v>
      </c>
      <c r="I66" s="3">
        <f t="shared" si="11"/>
        <v>50648</v>
      </c>
      <c r="J66" s="3">
        <v>435746</v>
      </c>
      <c r="K66" s="3">
        <v>441860</v>
      </c>
      <c r="L66" s="9">
        <f t="shared" si="164"/>
        <v>0.49352000000000001</v>
      </c>
      <c r="M66" s="5">
        <f t="shared" si="165"/>
        <v>4.3574599999999997</v>
      </c>
      <c r="N66" s="5">
        <f t="shared" si="166"/>
        <v>4.4185999999999996</v>
      </c>
      <c r="O66" s="5">
        <f t="shared" si="167"/>
        <v>-1.2884399999999965</v>
      </c>
      <c r="P66" s="4">
        <f t="shared" si="168"/>
        <v>-12.741839999999877</v>
      </c>
    </row>
    <row r="67" spans="1:16" x14ac:dyDescent="0.5">
      <c r="A67" t="s">
        <v>110</v>
      </c>
      <c r="B67" t="str">
        <f t="shared" si="148"/>
        <v>RNG55xERR60xARM60xTDP50</v>
      </c>
      <c r="C67">
        <v>55</v>
      </c>
      <c r="D67">
        <v>60</v>
      </c>
      <c r="E67">
        <v>60</v>
      </c>
      <c r="F67">
        <v>50</v>
      </c>
      <c r="G67">
        <v>100000</v>
      </c>
      <c r="H67" s="3">
        <v>49374</v>
      </c>
      <c r="I67" s="3">
        <f t="shared" si="11"/>
        <v>50626</v>
      </c>
      <c r="J67" s="3">
        <v>433284</v>
      </c>
      <c r="K67" s="3">
        <v>441415</v>
      </c>
      <c r="L67" s="9">
        <f t="shared" si="164"/>
        <v>0.49374000000000001</v>
      </c>
      <c r="M67" s="5">
        <f t="shared" si="165"/>
        <v>4.33284</v>
      </c>
      <c r="N67" s="5">
        <f t="shared" si="166"/>
        <v>4.4141500000000002</v>
      </c>
      <c r="O67" s="5">
        <f t="shared" si="167"/>
        <v>-1.252799999999997</v>
      </c>
      <c r="P67" s="4">
        <f t="shared" si="168"/>
        <v>-12.020939999999975</v>
      </c>
    </row>
    <row r="68" spans="1:16" x14ac:dyDescent="0.5">
      <c r="A68" t="s">
        <v>110</v>
      </c>
      <c r="B68" t="str">
        <f t="shared" si="148"/>
        <v>RNG55xERR60xARM75xTDP50</v>
      </c>
      <c r="C68">
        <v>55</v>
      </c>
      <c r="D68">
        <v>60</v>
      </c>
      <c r="E68">
        <v>75</v>
      </c>
      <c r="F68">
        <v>50</v>
      </c>
      <c r="G68">
        <v>100000</v>
      </c>
      <c r="H68" s="3">
        <v>51137</v>
      </c>
      <c r="I68" s="3">
        <f t="shared" si="11"/>
        <v>48863</v>
      </c>
      <c r="J68" s="3">
        <v>433746</v>
      </c>
      <c r="K68" s="3">
        <v>422547</v>
      </c>
      <c r="L68" s="9">
        <f t="shared" si="164"/>
        <v>0.51136999999999999</v>
      </c>
      <c r="M68" s="5">
        <f t="shared" si="165"/>
        <v>4.3374600000000001</v>
      </c>
      <c r="N68" s="5">
        <f t="shared" si="166"/>
        <v>4.2254699999999996</v>
      </c>
      <c r="O68" s="5">
        <f t="shared" si="167"/>
        <v>1.6032599999999997</v>
      </c>
      <c r="P68" s="4">
        <f t="shared" si="168"/>
        <v>18.545220000000128</v>
      </c>
    </row>
    <row r="69" spans="1:16" x14ac:dyDescent="0.5">
      <c r="A69" t="s">
        <v>110</v>
      </c>
      <c r="B69" t="str">
        <f t="shared" si="148"/>
        <v>RNG60xERR60xARM40xTDP50</v>
      </c>
      <c r="C69">
        <v>60</v>
      </c>
      <c r="D69">
        <v>60</v>
      </c>
      <c r="E69">
        <v>40</v>
      </c>
      <c r="F69">
        <v>50</v>
      </c>
      <c r="G69">
        <v>100000</v>
      </c>
      <c r="H69" s="3">
        <v>48949</v>
      </c>
      <c r="I69" s="3">
        <f t="shared" si="11"/>
        <v>51051</v>
      </c>
      <c r="J69" s="3">
        <v>432937</v>
      </c>
      <c r="K69" s="3">
        <v>442175</v>
      </c>
      <c r="L69" s="9">
        <f t="shared" si="164"/>
        <v>0.48948999999999998</v>
      </c>
      <c r="M69" s="5">
        <f t="shared" si="165"/>
        <v>4.3293699999999999</v>
      </c>
      <c r="N69" s="5">
        <f t="shared" si="166"/>
        <v>4.4217500000000003</v>
      </c>
      <c r="O69" s="5">
        <f t="shared" si="167"/>
        <v>-1.941300000000002</v>
      </c>
      <c r="P69" s="4">
        <f t="shared" si="168"/>
        <v>-13.252139999999983</v>
      </c>
    </row>
    <row r="70" spans="1:16" x14ac:dyDescent="0.5">
      <c r="A70" t="s">
        <v>110</v>
      </c>
      <c r="B70" t="str">
        <f t="shared" si="148"/>
        <v>RNG60xERR60xARM45xTDP50</v>
      </c>
      <c r="C70">
        <v>60</v>
      </c>
      <c r="D70">
        <v>60</v>
      </c>
      <c r="E70">
        <v>45</v>
      </c>
      <c r="F70">
        <v>50</v>
      </c>
      <c r="G70">
        <v>100000</v>
      </c>
      <c r="H70" s="3">
        <v>49079</v>
      </c>
      <c r="I70" s="3">
        <f t="shared" si="11"/>
        <v>50921</v>
      </c>
      <c r="J70" s="3">
        <v>432969</v>
      </c>
      <c r="K70" s="3">
        <v>440954</v>
      </c>
      <c r="L70" s="9">
        <f t="shared" si="164"/>
        <v>0.49079</v>
      </c>
      <c r="M70" s="5">
        <f t="shared" si="165"/>
        <v>4.3296900000000003</v>
      </c>
      <c r="N70" s="5">
        <f t="shared" si="166"/>
        <v>4.4095399999999998</v>
      </c>
      <c r="O70" s="5">
        <f t="shared" si="167"/>
        <v>-1.7306999999999984</v>
      </c>
      <c r="P70" s="4">
        <f t="shared" si="168"/>
        <v>-11.274119999999902</v>
      </c>
    </row>
    <row r="71" spans="1:16" x14ac:dyDescent="0.5">
      <c r="A71" t="s">
        <v>110</v>
      </c>
      <c r="B71" t="str">
        <f t="shared" si="148"/>
        <v>RNG70xERR60xARM60xTDP50</v>
      </c>
      <c r="C71">
        <v>70</v>
      </c>
      <c r="D71">
        <v>60</v>
      </c>
      <c r="E71">
        <v>60</v>
      </c>
      <c r="F71">
        <v>50</v>
      </c>
      <c r="G71">
        <v>100000</v>
      </c>
      <c r="H71" s="3">
        <v>52140</v>
      </c>
      <c r="I71" s="3">
        <f t="shared" si="11"/>
        <v>47860</v>
      </c>
      <c r="J71" s="3">
        <v>434730</v>
      </c>
      <c r="K71" s="3">
        <v>414048</v>
      </c>
      <c r="L71" s="9">
        <f t="shared" si="164"/>
        <v>0.52139999999999997</v>
      </c>
      <c r="M71" s="5">
        <f t="shared" si="165"/>
        <v>4.3472999999999997</v>
      </c>
      <c r="N71" s="5">
        <f t="shared" si="166"/>
        <v>4.1404800000000002</v>
      </c>
      <c r="O71" s="5">
        <f t="shared" si="167"/>
        <v>3.228119999999997</v>
      </c>
      <c r="P71" s="4">
        <f t="shared" si="168"/>
        <v>32.313600000000037</v>
      </c>
    </row>
    <row r="72" spans="1:16" x14ac:dyDescent="0.5">
      <c r="A72" s="18" t="s">
        <v>171</v>
      </c>
      <c r="B72" s="18" t="s">
        <v>165</v>
      </c>
      <c r="C72" s="18">
        <v>35</v>
      </c>
      <c r="D72" s="18">
        <v>35</v>
      </c>
      <c r="E72" s="18">
        <v>40</v>
      </c>
      <c r="F72" s="18">
        <v>40</v>
      </c>
      <c r="G72" s="18">
        <v>100000</v>
      </c>
      <c r="H72" s="19">
        <v>50147.333333333336</v>
      </c>
      <c r="I72" s="19">
        <v>49852.666666666664</v>
      </c>
      <c r="J72" s="19">
        <v>434431.33333333331</v>
      </c>
      <c r="K72" s="19">
        <v>433994.66666666669</v>
      </c>
      <c r="L72" s="20">
        <v>0.50147333333333333</v>
      </c>
      <c r="M72" s="21">
        <v>4.344313333333333</v>
      </c>
      <c r="N72" s="21">
        <v>4.3399466666666671</v>
      </c>
      <c r="O72" s="21" t="s">
        <v>50</v>
      </c>
      <c r="P72" s="22" t="s">
        <v>50</v>
      </c>
    </row>
    <row r="73" spans="1:16" x14ac:dyDescent="0.5">
      <c r="A73" t="s">
        <v>171</v>
      </c>
      <c r="B73" t="str">
        <f t="shared" si="148"/>
        <v>RNG20xERR35xARM40xTDP40</v>
      </c>
      <c r="C73">
        <v>20</v>
      </c>
      <c r="D73">
        <v>35</v>
      </c>
      <c r="E73">
        <v>40</v>
      </c>
      <c r="F73">
        <v>40</v>
      </c>
      <c r="G73">
        <v>100000</v>
      </c>
      <c r="H73" s="3">
        <v>49785</v>
      </c>
      <c r="I73" s="3">
        <f t="shared" si="11"/>
        <v>50215</v>
      </c>
      <c r="J73" s="3">
        <v>431980</v>
      </c>
      <c r="K73" s="3">
        <v>435007</v>
      </c>
      <c r="L73" s="9">
        <f t="shared" ref="L73" si="169">H73/G73</f>
        <v>0.49785000000000001</v>
      </c>
      <c r="M73" s="5">
        <f t="shared" ref="M73" si="170">J73/G73</f>
        <v>4.3197999999999999</v>
      </c>
      <c r="N73" s="5">
        <f t="shared" ref="N73" si="171">K73/G73</f>
        <v>4.3500699999999997</v>
      </c>
      <c r="O73" s="5">
        <f t="shared" ref="O73" si="172">(L73-$L$7)*162</f>
        <v>-0.5869799999999965</v>
      </c>
      <c r="P73" s="4">
        <f t="shared" ref="P73" si="173">-(N73-$N$7)*162</f>
        <v>-1.6399799999998805</v>
      </c>
    </row>
    <row r="74" spans="1:16" x14ac:dyDescent="0.5">
      <c r="A74" t="s">
        <v>171</v>
      </c>
      <c r="B74" t="str">
        <f t="shared" si="148"/>
        <v>RNG30xERR35xARM40xTDP40</v>
      </c>
      <c r="C74">
        <v>30</v>
      </c>
      <c r="D74">
        <v>35</v>
      </c>
      <c r="E74">
        <v>40</v>
      </c>
      <c r="F74">
        <v>40</v>
      </c>
      <c r="G74">
        <v>100000</v>
      </c>
      <c r="H74" s="3">
        <v>49649</v>
      </c>
      <c r="I74" s="3">
        <f t="shared" si="11"/>
        <v>50351</v>
      </c>
      <c r="J74" s="3">
        <v>434021</v>
      </c>
      <c r="K74" s="3">
        <v>436272</v>
      </c>
      <c r="L74" s="9">
        <f t="shared" ref="L74" si="174">H74/G74</f>
        <v>0.49648999999999999</v>
      </c>
      <c r="M74" s="5">
        <f t="shared" ref="M74" si="175">J74/G74</f>
        <v>4.3402099999999999</v>
      </c>
      <c r="N74" s="5">
        <f t="shared" ref="N74" si="176">K74/G74</f>
        <v>4.3627200000000004</v>
      </c>
      <c r="O74" s="5">
        <f t="shared" ref="O74" si="177">(L74-$L$7)*162</f>
        <v>-0.80730000000000102</v>
      </c>
      <c r="P74" s="4">
        <f t="shared" ref="P74" si="178">-(N74-$N$7)*162</f>
        <v>-3.6892799999999966</v>
      </c>
    </row>
    <row r="75" spans="1:16" x14ac:dyDescent="0.5">
      <c r="A75" t="s">
        <v>171</v>
      </c>
      <c r="B75" t="str">
        <f t="shared" si="148"/>
        <v>RNG40xERR35xARM40xTDP40</v>
      </c>
      <c r="C75">
        <v>40</v>
      </c>
      <c r="D75">
        <v>35</v>
      </c>
      <c r="E75">
        <v>40</v>
      </c>
      <c r="F75">
        <v>40</v>
      </c>
      <c r="G75">
        <v>100000</v>
      </c>
      <c r="H75" s="3">
        <v>50370</v>
      </c>
      <c r="I75" s="3">
        <f t="shared" si="11"/>
        <v>49630</v>
      </c>
      <c r="J75" s="3">
        <v>435324</v>
      </c>
      <c r="K75" s="3">
        <v>433571</v>
      </c>
      <c r="L75" s="9">
        <f t="shared" ref="L75:L77" si="179">H75/G75</f>
        <v>0.50370000000000004</v>
      </c>
      <c r="M75" s="5">
        <f t="shared" ref="M75:M77" si="180">J75/G75</f>
        <v>4.3532400000000004</v>
      </c>
      <c r="N75" s="5">
        <f t="shared" ref="N75:N77" si="181">K75/G75</f>
        <v>4.3357099999999997</v>
      </c>
      <c r="O75" s="5">
        <f t="shared" ref="O75:O77" si="182">(L75-$L$7)*162</f>
        <v>0.36072000000000704</v>
      </c>
      <c r="P75" s="4">
        <f t="shared" ref="P75:P77" si="183">-(N75-$N$7)*162</f>
        <v>0.68634000000010786</v>
      </c>
    </row>
    <row r="76" spans="1:16" x14ac:dyDescent="0.5">
      <c r="A76" t="s">
        <v>171</v>
      </c>
      <c r="B76" t="str">
        <f t="shared" si="148"/>
        <v>RNG45xERR35xARM40xTDP40</v>
      </c>
      <c r="C76">
        <v>45</v>
      </c>
      <c r="D76">
        <v>35</v>
      </c>
      <c r="E76">
        <v>40</v>
      </c>
      <c r="F76">
        <v>40</v>
      </c>
      <c r="G76">
        <v>100000</v>
      </c>
      <c r="H76" s="3">
        <v>50354</v>
      </c>
      <c r="I76" s="3">
        <f t="shared" si="11"/>
        <v>49646</v>
      </c>
      <c r="J76" s="3">
        <v>432861</v>
      </c>
      <c r="K76" s="3">
        <v>431648</v>
      </c>
      <c r="L76" s="9">
        <f t="shared" si="179"/>
        <v>0.50353999999999999</v>
      </c>
      <c r="M76" s="5">
        <f t="shared" si="180"/>
        <v>4.3286100000000003</v>
      </c>
      <c r="N76" s="5">
        <f t="shared" si="181"/>
        <v>4.3164800000000003</v>
      </c>
      <c r="O76" s="5">
        <f t="shared" si="182"/>
        <v>0.3347999999999991</v>
      </c>
      <c r="P76" s="4">
        <f t="shared" si="183"/>
        <v>3.801600000000013</v>
      </c>
    </row>
    <row r="77" spans="1:16" x14ac:dyDescent="0.5">
      <c r="A77" t="s">
        <v>171</v>
      </c>
      <c r="B77" t="str">
        <f t="shared" si="148"/>
        <v>RNG50xERR35xARM40xTDP40</v>
      </c>
      <c r="C77">
        <v>50</v>
      </c>
      <c r="D77">
        <v>35</v>
      </c>
      <c r="E77">
        <v>40</v>
      </c>
      <c r="F77">
        <v>40</v>
      </c>
      <c r="G77">
        <v>100000</v>
      </c>
      <c r="H77" s="3">
        <v>50084</v>
      </c>
      <c r="I77" s="3">
        <f t="shared" si="11"/>
        <v>49916</v>
      </c>
      <c r="J77" s="3">
        <v>435040</v>
      </c>
      <c r="K77" s="3">
        <v>433487</v>
      </c>
      <c r="L77" s="9">
        <f t="shared" si="179"/>
        <v>0.50083999999999995</v>
      </c>
      <c r="M77" s="5">
        <f t="shared" si="180"/>
        <v>4.3503999999999996</v>
      </c>
      <c r="N77" s="5">
        <f t="shared" si="181"/>
        <v>4.3348699999999996</v>
      </c>
      <c r="O77" s="5">
        <f t="shared" si="182"/>
        <v>-0.10260000000000669</v>
      </c>
      <c r="P77" s="4">
        <f t="shared" si="183"/>
        <v>0.82242000000013604</v>
      </c>
    </row>
    <row r="78" spans="1:16" x14ac:dyDescent="0.5">
      <c r="A78" t="s">
        <v>171</v>
      </c>
      <c r="B78" t="str">
        <f t="shared" si="148"/>
        <v>RNG35xERR20xARM40xTDP40</v>
      </c>
      <c r="C78">
        <v>35</v>
      </c>
      <c r="D78">
        <v>20</v>
      </c>
      <c r="E78">
        <v>40</v>
      </c>
      <c r="F78">
        <v>40</v>
      </c>
      <c r="G78">
        <v>100000</v>
      </c>
      <c r="H78" s="3">
        <v>49809</v>
      </c>
      <c r="I78" s="3">
        <f t="shared" si="11"/>
        <v>50191</v>
      </c>
      <c r="J78" s="3">
        <v>433003</v>
      </c>
      <c r="K78" s="3">
        <v>435255</v>
      </c>
      <c r="L78" s="9">
        <f t="shared" ref="L78:L81" si="184">H78/G78</f>
        <v>0.49808999999999998</v>
      </c>
      <c r="M78" s="5">
        <f t="shared" ref="M78:M81" si="185">J78/G78</f>
        <v>4.3300299999999998</v>
      </c>
      <c r="N78" s="5">
        <f t="shared" ref="N78:N81" si="186">K78/G78</f>
        <v>4.3525499999999999</v>
      </c>
      <c r="O78" s="5">
        <f t="shared" ref="O78:O81" si="187">(L78-$L$7)*162</f>
        <v>-0.54810000000000259</v>
      </c>
      <c r="P78" s="4">
        <f t="shared" ref="P78:P81" si="188">-(N78-$N$7)*162</f>
        <v>-2.0417399999999226</v>
      </c>
    </row>
    <row r="79" spans="1:16" x14ac:dyDescent="0.5">
      <c r="A79" t="s">
        <v>171</v>
      </c>
      <c r="B79" t="str">
        <f t="shared" si="148"/>
        <v>RNG35xERR30xARM40xTDP40</v>
      </c>
      <c r="C79">
        <v>35</v>
      </c>
      <c r="D79">
        <v>30</v>
      </c>
      <c r="E79">
        <v>40</v>
      </c>
      <c r="F79">
        <v>40</v>
      </c>
      <c r="G79">
        <v>100000</v>
      </c>
      <c r="H79" s="3">
        <v>50204</v>
      </c>
      <c r="I79" s="3">
        <f t="shared" si="11"/>
        <v>49796</v>
      </c>
      <c r="J79" s="3">
        <v>434831</v>
      </c>
      <c r="K79" s="3">
        <v>433581</v>
      </c>
      <c r="L79" s="9">
        <f t="shared" si="184"/>
        <v>0.50204000000000004</v>
      </c>
      <c r="M79" s="5">
        <f t="shared" si="185"/>
        <v>4.3483099999999997</v>
      </c>
      <c r="N79" s="5">
        <f t="shared" si="186"/>
        <v>4.3358100000000004</v>
      </c>
      <c r="O79" s="5">
        <f t="shared" si="187"/>
        <v>9.1800000000007875E-2</v>
      </c>
      <c r="P79" s="4">
        <f t="shared" si="188"/>
        <v>0.67014000000000173</v>
      </c>
    </row>
    <row r="80" spans="1:16" x14ac:dyDescent="0.5">
      <c r="A80" t="s">
        <v>171</v>
      </c>
      <c r="B80" t="str">
        <f t="shared" si="148"/>
        <v>RNG35xERR40xARM40xTDP40</v>
      </c>
      <c r="C80">
        <v>35</v>
      </c>
      <c r="D80">
        <v>40</v>
      </c>
      <c r="E80">
        <v>40</v>
      </c>
      <c r="F80">
        <v>40</v>
      </c>
      <c r="G80">
        <v>100000</v>
      </c>
      <c r="H80" s="3">
        <v>50104</v>
      </c>
      <c r="I80" s="3">
        <f t="shared" si="11"/>
        <v>49896</v>
      </c>
      <c r="J80" s="3">
        <v>433688</v>
      </c>
      <c r="K80" s="3">
        <v>433280</v>
      </c>
      <c r="L80" s="9">
        <f t="shared" si="184"/>
        <v>0.50104000000000004</v>
      </c>
      <c r="M80" s="5">
        <f t="shared" si="185"/>
        <v>4.3368799999999998</v>
      </c>
      <c r="N80" s="5">
        <f t="shared" si="186"/>
        <v>4.3327999999999998</v>
      </c>
      <c r="O80" s="5">
        <f t="shared" si="187"/>
        <v>-7.0199999999992269E-2</v>
      </c>
      <c r="P80" s="4">
        <f t="shared" si="188"/>
        <v>1.1577600000001027</v>
      </c>
    </row>
    <row r="81" spans="1:16" x14ac:dyDescent="0.5">
      <c r="A81" t="s">
        <v>171</v>
      </c>
      <c r="B81" t="str">
        <f t="shared" si="148"/>
        <v>RNG35xERR50xARM40xTDP40</v>
      </c>
      <c r="C81">
        <v>35</v>
      </c>
      <c r="D81">
        <v>50</v>
      </c>
      <c r="E81">
        <v>40</v>
      </c>
      <c r="F81">
        <v>40</v>
      </c>
      <c r="G81">
        <v>100000</v>
      </c>
      <c r="H81" s="3">
        <v>50127</v>
      </c>
      <c r="I81" s="3">
        <f t="shared" si="11"/>
        <v>49873</v>
      </c>
      <c r="J81" s="3">
        <v>434898</v>
      </c>
      <c r="K81" s="3">
        <v>435363</v>
      </c>
      <c r="L81" s="9">
        <f t="shared" si="184"/>
        <v>0.50126999999999999</v>
      </c>
      <c r="M81" s="5">
        <f t="shared" si="185"/>
        <v>4.3489800000000001</v>
      </c>
      <c r="N81" s="5">
        <f t="shared" si="186"/>
        <v>4.3536299999999999</v>
      </c>
      <c r="O81" s="5">
        <f t="shared" si="187"/>
        <v>-3.2939999999999969E-2</v>
      </c>
      <c r="P81" s="4">
        <f t="shared" si="188"/>
        <v>-2.2166999999999177</v>
      </c>
    </row>
    <row r="82" spans="1:16" x14ac:dyDescent="0.5">
      <c r="A82" t="s">
        <v>171</v>
      </c>
      <c r="B82" t="str">
        <f t="shared" si="148"/>
        <v>RNG35xERR60xARM40xTDP40</v>
      </c>
      <c r="C82">
        <v>35</v>
      </c>
      <c r="D82">
        <v>60</v>
      </c>
      <c r="E82">
        <v>40</v>
      </c>
      <c r="F82">
        <v>40</v>
      </c>
      <c r="G82">
        <v>100000</v>
      </c>
      <c r="H82" s="3">
        <v>49836</v>
      </c>
      <c r="I82" s="3">
        <f t="shared" si="11"/>
        <v>50164</v>
      </c>
      <c r="J82" s="3">
        <v>434831</v>
      </c>
      <c r="K82" s="3">
        <v>435131</v>
      </c>
      <c r="L82" s="9">
        <f t="shared" ref="L82" si="189">H82/G82</f>
        <v>0.49836000000000003</v>
      </c>
      <c r="M82" s="5">
        <f t="shared" ref="M82" si="190">J82/G82</f>
        <v>4.3483099999999997</v>
      </c>
      <c r="N82" s="5">
        <f t="shared" ref="N82" si="191">K82/G82</f>
        <v>4.3513099999999998</v>
      </c>
      <c r="O82" s="5">
        <f t="shared" ref="O82" si="192">(L82-$L$7)*162</f>
        <v>-0.50435999999999481</v>
      </c>
      <c r="P82" s="4">
        <f t="shared" ref="P82" si="193">-(N82-$N$7)*162</f>
        <v>-1.8408599999999016</v>
      </c>
    </row>
    <row r="83" spans="1:16" x14ac:dyDescent="0.5">
      <c r="A83" t="s">
        <v>171</v>
      </c>
      <c r="B83" t="str">
        <f t="shared" si="148"/>
        <v>RNG40xERR40xARM40xTDP40</v>
      </c>
      <c r="C83">
        <v>40</v>
      </c>
      <c r="D83">
        <v>40</v>
      </c>
      <c r="E83">
        <v>40</v>
      </c>
      <c r="F83">
        <v>40</v>
      </c>
      <c r="G83">
        <v>100000</v>
      </c>
      <c r="H83" s="3">
        <v>50112</v>
      </c>
      <c r="I83" s="3">
        <f t="shared" si="11"/>
        <v>49888</v>
      </c>
      <c r="J83" s="3">
        <v>434556</v>
      </c>
      <c r="K83" s="3">
        <v>433551</v>
      </c>
      <c r="L83" s="9">
        <f t="shared" ref="L83:L84" si="194">H83/G83</f>
        <v>0.50112000000000001</v>
      </c>
      <c r="M83" s="5">
        <f t="shared" ref="M83:M84" si="195">J83/G83</f>
        <v>4.3455599999999999</v>
      </c>
      <c r="N83" s="5">
        <f t="shared" ref="N83:N84" si="196">K83/G83</f>
        <v>4.3355100000000002</v>
      </c>
      <c r="O83" s="5">
        <f t="shared" ref="O83:O84" si="197">(L83-$L$7)*162</f>
        <v>-5.7239999999997293E-2</v>
      </c>
      <c r="P83" s="4">
        <f t="shared" ref="P83:P84" si="198">-(N83-$N$7)*162</f>
        <v>0.71874000000003235</v>
      </c>
    </row>
    <row r="84" spans="1:16" x14ac:dyDescent="0.5">
      <c r="A84" t="s">
        <v>171</v>
      </c>
      <c r="B84" t="str">
        <f t="shared" ref="B84:B125" si="199">_xlfn.CONCAT("RNG",C84,"xERR",D84,"xARM",E84,"xTDP",F84)</f>
        <v>RNG50xERR50xARM50xTDP50</v>
      </c>
      <c r="C84">
        <v>50</v>
      </c>
      <c r="D84">
        <v>50</v>
      </c>
      <c r="E84">
        <v>50</v>
      </c>
      <c r="F84">
        <v>50</v>
      </c>
      <c r="G84">
        <v>100000</v>
      </c>
      <c r="H84" s="3">
        <v>50163</v>
      </c>
      <c r="I84" s="3">
        <f t="shared" si="11"/>
        <v>49837</v>
      </c>
      <c r="J84" s="3">
        <v>433538</v>
      </c>
      <c r="K84" s="3">
        <v>431491</v>
      </c>
      <c r="L84" s="9">
        <f t="shared" si="194"/>
        <v>0.50163000000000002</v>
      </c>
      <c r="M84" s="5">
        <f t="shared" si="195"/>
        <v>4.3353799999999998</v>
      </c>
      <c r="N84" s="5">
        <f t="shared" si="196"/>
        <v>4.3149100000000002</v>
      </c>
      <c r="O84" s="5">
        <f t="shared" si="197"/>
        <v>2.5380000000004399E-2</v>
      </c>
      <c r="P84" s="4">
        <f t="shared" si="198"/>
        <v>4.0559400000000245</v>
      </c>
    </row>
    <row r="85" spans="1:16" x14ac:dyDescent="0.5">
      <c r="A85" s="18" t="s">
        <v>5</v>
      </c>
      <c r="B85" s="18" t="s">
        <v>165</v>
      </c>
      <c r="C85" s="18">
        <v>50</v>
      </c>
      <c r="D85" s="18">
        <v>55</v>
      </c>
      <c r="E85" s="18">
        <v>50</v>
      </c>
      <c r="F85" s="18">
        <v>55</v>
      </c>
      <c r="G85" s="18">
        <v>100000</v>
      </c>
      <c r="H85" s="19">
        <v>50147.333333333336</v>
      </c>
      <c r="I85" s="19">
        <v>49852.666666666664</v>
      </c>
      <c r="J85" s="19">
        <v>434431.33333333331</v>
      </c>
      <c r="K85" s="19">
        <v>433994.66666666669</v>
      </c>
      <c r="L85" s="20">
        <v>0.50147333333333333</v>
      </c>
      <c r="M85" s="21">
        <v>4.344313333333333</v>
      </c>
      <c r="N85" s="21">
        <v>4.3399466666666671</v>
      </c>
      <c r="O85" s="21" t="s">
        <v>50</v>
      </c>
      <c r="P85" s="22" t="s">
        <v>50</v>
      </c>
    </row>
    <row r="86" spans="1:16" x14ac:dyDescent="0.5">
      <c r="A86" t="s">
        <v>5</v>
      </c>
      <c r="B86" t="str">
        <f t="shared" si="199"/>
        <v>RNG40xERR55xARM50xTDP55</v>
      </c>
      <c r="C86">
        <v>40</v>
      </c>
      <c r="D86">
        <v>55</v>
      </c>
      <c r="E86">
        <v>50</v>
      </c>
      <c r="F86">
        <v>55</v>
      </c>
      <c r="G86">
        <v>100000</v>
      </c>
      <c r="H86" s="3">
        <v>49985</v>
      </c>
      <c r="I86" s="3">
        <f t="shared" si="11"/>
        <v>50015</v>
      </c>
      <c r="J86" s="3">
        <v>435642</v>
      </c>
      <c r="K86" s="3">
        <v>436419</v>
      </c>
      <c r="L86" s="9">
        <f t="shared" ref="L86:L105" si="200">H86/G86</f>
        <v>0.49985000000000002</v>
      </c>
      <c r="M86" s="5">
        <f t="shared" ref="M86:M105" si="201">J86/G86</f>
        <v>4.35642</v>
      </c>
      <c r="N86" s="5">
        <f t="shared" ref="N86:N105" si="202">K86/G86</f>
        <v>4.3641899999999998</v>
      </c>
      <c r="O86" s="5">
        <f t="shared" ref="O86:O105" si="203">(L86-$L$7)*162</f>
        <v>-0.26297999999999622</v>
      </c>
      <c r="P86" s="4">
        <f t="shared" ref="P86:P105" si="204">-(N86-$N$7)*162</f>
        <v>-3.927419999999902</v>
      </c>
    </row>
    <row r="87" spans="1:16" x14ac:dyDescent="0.5">
      <c r="A87" t="s">
        <v>5</v>
      </c>
      <c r="B87" t="str">
        <f t="shared" si="199"/>
        <v>RNG55xERR55xARM50xTDP55</v>
      </c>
      <c r="C87">
        <v>55</v>
      </c>
      <c r="D87">
        <v>55</v>
      </c>
      <c r="E87">
        <v>50</v>
      </c>
      <c r="F87">
        <v>55</v>
      </c>
      <c r="G87">
        <v>100000</v>
      </c>
      <c r="H87" s="3">
        <v>51016</v>
      </c>
      <c r="I87" s="3">
        <f t="shared" si="11"/>
        <v>48984</v>
      </c>
      <c r="J87" s="3">
        <v>435847</v>
      </c>
      <c r="K87" s="3">
        <v>426798</v>
      </c>
      <c r="L87" s="9">
        <f t="shared" ref="L87" si="205">H87/G87</f>
        <v>0.51015999999999995</v>
      </c>
      <c r="M87" s="5">
        <f t="shared" ref="M87" si="206">J87/G87</f>
        <v>4.3584699999999996</v>
      </c>
      <c r="N87" s="5">
        <f t="shared" ref="N87" si="207">K87/G87</f>
        <v>4.2679799999999997</v>
      </c>
      <c r="O87" s="5">
        <f t="shared" ref="O87" si="208">(L87-$L$7)*162</f>
        <v>1.4072399999999925</v>
      </c>
      <c r="P87" s="4">
        <f t="shared" ref="P87" si="209">-(N87-$N$7)*162</f>
        <v>11.658600000000119</v>
      </c>
    </row>
    <row r="88" spans="1:16" x14ac:dyDescent="0.5">
      <c r="A88" t="s">
        <v>5</v>
      </c>
      <c r="B88" t="str">
        <f t="shared" si="199"/>
        <v>RNG60xERR55xARM50xTDP55</v>
      </c>
      <c r="C88">
        <v>60</v>
      </c>
      <c r="D88">
        <v>55</v>
      </c>
      <c r="E88">
        <v>50</v>
      </c>
      <c r="F88">
        <v>55</v>
      </c>
      <c r="G88">
        <v>100000</v>
      </c>
      <c r="H88" s="3">
        <v>50816</v>
      </c>
      <c r="I88" s="3">
        <f t="shared" si="11"/>
        <v>49184</v>
      </c>
      <c r="J88" s="3">
        <v>434030</v>
      </c>
      <c r="K88" s="3">
        <v>426670</v>
      </c>
      <c r="L88" s="9">
        <f t="shared" si="200"/>
        <v>0.50815999999999995</v>
      </c>
      <c r="M88" s="5">
        <f t="shared" si="201"/>
        <v>4.3403</v>
      </c>
      <c r="N88" s="5">
        <f t="shared" si="202"/>
        <v>4.2667000000000002</v>
      </c>
      <c r="O88" s="5">
        <f t="shared" si="203"/>
        <v>1.0832399999999922</v>
      </c>
      <c r="P88" s="4">
        <f t="shared" si="204"/>
        <v>11.865960000000038</v>
      </c>
    </row>
    <row r="89" spans="1:16" x14ac:dyDescent="0.5">
      <c r="A89" t="s">
        <v>5</v>
      </c>
      <c r="B89" t="str">
        <f t="shared" si="199"/>
        <v>RNG65xERR55xARM50xTDP55</v>
      </c>
      <c r="C89">
        <v>65</v>
      </c>
      <c r="D89">
        <v>55</v>
      </c>
      <c r="E89">
        <v>50</v>
      </c>
      <c r="F89">
        <v>55</v>
      </c>
      <c r="G89">
        <v>100000</v>
      </c>
      <c r="H89" s="3">
        <v>51001</v>
      </c>
      <c r="I89" s="3">
        <f t="shared" si="11"/>
        <v>48999</v>
      </c>
      <c r="J89" s="3">
        <v>433625</v>
      </c>
      <c r="K89" s="3">
        <v>425328</v>
      </c>
      <c r="L89" s="9">
        <f t="shared" ref="L89:L91" si="210">H89/G89</f>
        <v>0.51000999999999996</v>
      </c>
      <c r="M89" s="5">
        <f t="shared" ref="M89:M91" si="211">J89/G89</f>
        <v>4.3362499999999997</v>
      </c>
      <c r="N89" s="5">
        <f t="shared" ref="N89:N91" si="212">K89/G89</f>
        <v>4.2532800000000002</v>
      </c>
      <c r="O89" s="5">
        <f t="shared" ref="O89:O91" si="213">(L89-$L$7)*162</f>
        <v>1.3829399999999952</v>
      </c>
      <c r="P89" s="4">
        <f t="shared" ref="P89:P91" si="214">-(N89-$N$7)*162</f>
        <v>14.040000000000036</v>
      </c>
    </row>
    <row r="90" spans="1:16" x14ac:dyDescent="0.5">
      <c r="A90" t="s">
        <v>5</v>
      </c>
      <c r="B90" t="str">
        <f t="shared" si="199"/>
        <v>RNG70xERR55xARM50xTDP55</v>
      </c>
      <c r="C90">
        <v>70</v>
      </c>
      <c r="D90">
        <v>55</v>
      </c>
      <c r="E90">
        <v>50</v>
      </c>
      <c r="F90">
        <v>55</v>
      </c>
      <c r="G90">
        <v>100000</v>
      </c>
      <c r="H90" s="3">
        <v>50811</v>
      </c>
      <c r="I90" s="3">
        <f t="shared" si="11"/>
        <v>49189</v>
      </c>
      <c r="J90" s="3">
        <v>433670</v>
      </c>
      <c r="K90" s="3">
        <v>425315</v>
      </c>
      <c r="L90" s="9">
        <f t="shared" si="210"/>
        <v>0.50810999999999995</v>
      </c>
      <c r="M90" s="5">
        <f t="shared" si="211"/>
        <v>4.3367000000000004</v>
      </c>
      <c r="N90" s="5">
        <f t="shared" si="212"/>
        <v>4.2531499999999998</v>
      </c>
      <c r="O90" s="5">
        <f t="shared" si="213"/>
        <v>1.0751399999999931</v>
      </c>
      <c r="P90" s="4">
        <f t="shared" si="214"/>
        <v>14.061060000000102</v>
      </c>
    </row>
    <row r="91" spans="1:16" x14ac:dyDescent="0.5">
      <c r="A91" t="s">
        <v>5</v>
      </c>
      <c r="B91" t="str">
        <f t="shared" si="199"/>
        <v>RNG75xERR55xARM50xTDP55</v>
      </c>
      <c r="C91">
        <v>75</v>
      </c>
      <c r="D91">
        <v>55</v>
      </c>
      <c r="E91">
        <v>50</v>
      </c>
      <c r="F91">
        <v>55</v>
      </c>
      <c r="G91">
        <v>100000</v>
      </c>
      <c r="H91" s="3">
        <v>50715</v>
      </c>
      <c r="I91" s="3">
        <f t="shared" si="11"/>
        <v>49285</v>
      </c>
      <c r="J91" s="3">
        <v>434090</v>
      </c>
      <c r="K91" s="3">
        <v>425781</v>
      </c>
      <c r="L91" s="9">
        <f t="shared" si="210"/>
        <v>0.50714999999999999</v>
      </c>
      <c r="M91" s="5">
        <f t="shared" si="211"/>
        <v>4.3409000000000004</v>
      </c>
      <c r="N91" s="5">
        <f t="shared" si="212"/>
        <v>4.2578100000000001</v>
      </c>
      <c r="O91" s="5">
        <f t="shared" si="213"/>
        <v>0.91961999999999944</v>
      </c>
      <c r="P91" s="4">
        <f t="shared" si="214"/>
        <v>13.306140000000049</v>
      </c>
    </row>
    <row r="92" spans="1:16" x14ac:dyDescent="0.5">
      <c r="A92" t="s">
        <v>5</v>
      </c>
      <c r="B92" t="str">
        <f t="shared" si="199"/>
        <v>RNG50xERR40xARM50xTDP55</v>
      </c>
      <c r="C92">
        <v>50</v>
      </c>
      <c r="D92">
        <v>40</v>
      </c>
      <c r="E92">
        <v>50</v>
      </c>
      <c r="F92">
        <v>55</v>
      </c>
      <c r="G92">
        <v>100000</v>
      </c>
      <c r="H92" s="3">
        <v>49945</v>
      </c>
      <c r="I92" s="3">
        <f t="shared" ref="I92:I121" si="215">G92-H92</f>
        <v>50055</v>
      </c>
      <c r="J92" s="3">
        <v>433834</v>
      </c>
      <c r="K92" s="3">
        <v>436366</v>
      </c>
      <c r="L92" s="9">
        <f t="shared" si="200"/>
        <v>0.49945000000000001</v>
      </c>
      <c r="M92" s="5">
        <f t="shared" si="201"/>
        <v>4.3383399999999996</v>
      </c>
      <c r="N92" s="5">
        <f t="shared" si="202"/>
        <v>4.3636600000000003</v>
      </c>
      <c r="O92" s="5">
        <f t="shared" si="203"/>
        <v>-0.32777999999999807</v>
      </c>
      <c r="P92" s="4">
        <f t="shared" si="204"/>
        <v>-3.841559999999987</v>
      </c>
    </row>
    <row r="93" spans="1:16" x14ac:dyDescent="0.5">
      <c r="A93" t="s">
        <v>5</v>
      </c>
      <c r="B93" t="str">
        <f t="shared" si="199"/>
        <v>RNG50xERR50xARM50xTDP55</v>
      </c>
      <c r="C93">
        <v>50</v>
      </c>
      <c r="D93">
        <v>50</v>
      </c>
      <c r="E93">
        <v>50</v>
      </c>
      <c r="F93">
        <v>55</v>
      </c>
      <c r="G93">
        <v>100000</v>
      </c>
      <c r="H93" s="3">
        <v>49931</v>
      </c>
      <c r="I93" s="3">
        <f t="shared" si="215"/>
        <v>50069</v>
      </c>
      <c r="J93" s="3">
        <v>435582</v>
      </c>
      <c r="K93" s="3">
        <v>435999</v>
      </c>
      <c r="L93" s="9">
        <f t="shared" si="200"/>
        <v>0.49930999999999998</v>
      </c>
      <c r="M93" s="5">
        <f t="shared" si="201"/>
        <v>4.3558199999999996</v>
      </c>
      <c r="N93" s="5">
        <f t="shared" si="202"/>
        <v>4.3599899999999998</v>
      </c>
      <c r="O93" s="5">
        <f t="shared" si="203"/>
        <v>-0.35046000000000277</v>
      </c>
      <c r="P93" s="4">
        <f t="shared" si="204"/>
        <v>-3.247019999999905</v>
      </c>
    </row>
    <row r="94" spans="1:16" x14ac:dyDescent="0.5">
      <c r="A94" t="s">
        <v>5</v>
      </c>
      <c r="B94" t="str">
        <f t="shared" si="199"/>
        <v>RNG50xERR60xARM50xTDP55</v>
      </c>
      <c r="C94">
        <v>50</v>
      </c>
      <c r="D94">
        <v>60</v>
      </c>
      <c r="E94">
        <v>50</v>
      </c>
      <c r="F94">
        <v>55</v>
      </c>
      <c r="G94">
        <v>100000</v>
      </c>
      <c r="H94" s="3">
        <v>49874</v>
      </c>
      <c r="I94" s="3">
        <f t="shared" si="215"/>
        <v>50126</v>
      </c>
      <c r="J94" s="3">
        <v>434162</v>
      </c>
      <c r="K94" s="3">
        <v>436235</v>
      </c>
      <c r="L94" s="9">
        <f t="shared" si="200"/>
        <v>0.49874000000000002</v>
      </c>
      <c r="M94" s="5">
        <f t="shared" si="201"/>
        <v>4.3416199999999998</v>
      </c>
      <c r="N94" s="5">
        <f t="shared" si="202"/>
        <v>4.3623500000000002</v>
      </c>
      <c r="O94" s="5">
        <f t="shared" si="203"/>
        <v>-0.4427999999999962</v>
      </c>
      <c r="P94" s="4">
        <f t="shared" si="204"/>
        <v>-3.6293399999999636</v>
      </c>
    </row>
    <row r="95" spans="1:16" x14ac:dyDescent="0.5">
      <c r="A95" t="s">
        <v>5</v>
      </c>
      <c r="B95" t="str">
        <f t="shared" si="199"/>
        <v>RNG50xERR70xARM50xTDP55</v>
      </c>
      <c r="C95">
        <v>50</v>
      </c>
      <c r="D95">
        <v>70</v>
      </c>
      <c r="E95">
        <v>50</v>
      </c>
      <c r="F95">
        <v>55</v>
      </c>
      <c r="G95">
        <v>100000</v>
      </c>
      <c r="H95" s="3">
        <v>49733</v>
      </c>
      <c r="I95" s="3">
        <f t="shared" si="215"/>
        <v>50267</v>
      </c>
      <c r="J95" s="3">
        <v>432856</v>
      </c>
      <c r="K95" s="3">
        <v>434752</v>
      </c>
      <c r="L95" s="9">
        <f t="shared" si="200"/>
        <v>0.49732999999999999</v>
      </c>
      <c r="M95" s="5">
        <f t="shared" si="201"/>
        <v>4.3285600000000004</v>
      </c>
      <c r="N95" s="5">
        <f t="shared" si="202"/>
        <v>4.3475200000000003</v>
      </c>
      <c r="O95" s="5">
        <f t="shared" si="203"/>
        <v>-0.67121999999999982</v>
      </c>
      <c r="P95" s="4">
        <f t="shared" si="204"/>
        <v>-1.22687999999998</v>
      </c>
    </row>
    <row r="96" spans="1:16" x14ac:dyDescent="0.5">
      <c r="A96" t="s">
        <v>5</v>
      </c>
      <c r="B96" t="str">
        <f t="shared" si="199"/>
        <v>RNG50xERR55xARM40xTDP55</v>
      </c>
      <c r="C96">
        <v>50</v>
      </c>
      <c r="D96">
        <v>55</v>
      </c>
      <c r="E96">
        <v>40</v>
      </c>
      <c r="F96">
        <v>55</v>
      </c>
      <c r="G96">
        <v>100000</v>
      </c>
      <c r="H96" s="3">
        <v>49943</v>
      </c>
      <c r="I96" s="3">
        <f t="shared" si="215"/>
        <v>50057</v>
      </c>
      <c r="J96" s="3">
        <v>435261</v>
      </c>
      <c r="K96" s="3">
        <v>437070</v>
      </c>
      <c r="L96" s="9">
        <f t="shared" si="200"/>
        <v>0.49942999999999999</v>
      </c>
      <c r="M96" s="5">
        <f t="shared" si="201"/>
        <v>4.3526100000000003</v>
      </c>
      <c r="N96" s="5">
        <f t="shared" si="202"/>
        <v>4.3707000000000003</v>
      </c>
      <c r="O96" s="5">
        <f t="shared" si="203"/>
        <v>-0.33102000000000131</v>
      </c>
      <c r="P96" s="4">
        <f t="shared" si="204"/>
        <v>-4.9820399999999765</v>
      </c>
    </row>
    <row r="97" spans="1:16" x14ac:dyDescent="0.5">
      <c r="A97" t="s">
        <v>5</v>
      </c>
      <c r="B97" t="str">
        <f t="shared" si="199"/>
        <v>RNG50xERR55xARM55xTDP55</v>
      </c>
      <c r="C97">
        <v>50</v>
      </c>
      <c r="D97">
        <v>55</v>
      </c>
      <c r="E97">
        <v>55</v>
      </c>
      <c r="F97">
        <v>55</v>
      </c>
      <c r="G97">
        <v>100000</v>
      </c>
      <c r="H97" s="3">
        <v>50094</v>
      </c>
      <c r="I97" s="3">
        <f t="shared" si="215"/>
        <v>49906</v>
      </c>
      <c r="J97" s="3">
        <v>434436</v>
      </c>
      <c r="K97" s="3">
        <v>433397</v>
      </c>
      <c r="L97" s="9">
        <f t="shared" ref="L97:L101" si="216">H97/G97</f>
        <v>0.50094000000000005</v>
      </c>
      <c r="M97" s="5">
        <f t="shared" ref="M97:M101" si="217">J97/G97</f>
        <v>4.34436</v>
      </c>
      <c r="N97" s="5">
        <f t="shared" ref="N97:N101" si="218">K97/G97</f>
        <v>4.3339699999999999</v>
      </c>
      <c r="O97" s="5">
        <f t="shared" ref="O97:O101" si="219">(L97-$L$7)*162</f>
        <v>-8.6399999999990484E-2</v>
      </c>
      <c r="P97" s="4">
        <f t="shared" ref="P97:P101" si="220">-(N97-$N$7)*162</f>
        <v>0.96822000000008401</v>
      </c>
    </row>
    <row r="98" spans="1:16" x14ac:dyDescent="0.5">
      <c r="A98" t="s">
        <v>5</v>
      </c>
      <c r="B98" t="str">
        <f t="shared" si="199"/>
        <v>RNG50xERR55xARM60xTDP55</v>
      </c>
      <c r="C98">
        <v>50</v>
      </c>
      <c r="D98">
        <v>55</v>
      </c>
      <c r="E98">
        <v>60</v>
      </c>
      <c r="F98">
        <v>55</v>
      </c>
      <c r="G98">
        <v>100000</v>
      </c>
      <c r="H98" s="3">
        <v>50229</v>
      </c>
      <c r="I98" s="3">
        <f t="shared" si="215"/>
        <v>49771</v>
      </c>
      <c r="J98" s="3">
        <v>435142</v>
      </c>
      <c r="K98" s="3">
        <v>432933</v>
      </c>
      <c r="L98" s="9">
        <f t="shared" si="216"/>
        <v>0.50229000000000001</v>
      </c>
      <c r="M98" s="5">
        <f t="shared" si="217"/>
        <v>4.3514200000000001</v>
      </c>
      <c r="N98" s="5">
        <f t="shared" si="218"/>
        <v>4.3293299999999997</v>
      </c>
      <c r="O98" s="5">
        <f t="shared" si="219"/>
        <v>0.13230000000000341</v>
      </c>
      <c r="P98" s="4">
        <f t="shared" si="220"/>
        <v>1.7199000000001163</v>
      </c>
    </row>
    <row r="99" spans="1:16" x14ac:dyDescent="0.5">
      <c r="A99" t="s">
        <v>5</v>
      </c>
      <c r="B99" t="str">
        <f t="shared" si="199"/>
        <v>RNG50xERR55xARM65xTDP55</v>
      </c>
      <c r="C99">
        <v>50</v>
      </c>
      <c r="D99">
        <v>55</v>
      </c>
      <c r="E99">
        <v>65</v>
      </c>
      <c r="F99">
        <v>55</v>
      </c>
      <c r="G99">
        <v>100000</v>
      </c>
      <c r="H99" s="3">
        <v>50403</v>
      </c>
      <c r="I99" s="3">
        <f t="shared" si="215"/>
        <v>49597</v>
      </c>
      <c r="J99" s="3">
        <v>434297</v>
      </c>
      <c r="K99" s="3">
        <v>431053</v>
      </c>
      <c r="L99" s="9">
        <f t="shared" si="216"/>
        <v>0.50402999999999998</v>
      </c>
      <c r="M99" s="5">
        <f t="shared" si="217"/>
        <v>4.3429700000000002</v>
      </c>
      <c r="N99" s="5">
        <f t="shared" si="218"/>
        <v>4.31053</v>
      </c>
      <c r="O99" s="5">
        <f t="shared" si="219"/>
        <v>0.41417999999999755</v>
      </c>
      <c r="P99" s="4">
        <f t="shared" si="220"/>
        <v>4.7655000000000687</v>
      </c>
    </row>
    <row r="100" spans="1:16" x14ac:dyDescent="0.5">
      <c r="A100" t="s">
        <v>5</v>
      </c>
      <c r="B100" t="str">
        <f t="shared" si="199"/>
        <v>RNG50xERR55xARM70xTDP55</v>
      </c>
      <c r="C100">
        <v>50</v>
      </c>
      <c r="D100">
        <v>55</v>
      </c>
      <c r="E100">
        <v>70</v>
      </c>
      <c r="F100">
        <v>55</v>
      </c>
      <c r="G100">
        <v>100000</v>
      </c>
      <c r="H100" s="3">
        <v>50691</v>
      </c>
      <c r="I100" s="3">
        <f t="shared" si="215"/>
        <v>49309</v>
      </c>
      <c r="J100" s="3">
        <v>434563</v>
      </c>
      <c r="K100" s="3">
        <v>428484</v>
      </c>
      <c r="L100" s="9">
        <f t="shared" si="216"/>
        <v>0.50690999999999997</v>
      </c>
      <c r="M100" s="5">
        <f t="shared" si="217"/>
        <v>4.3456299999999999</v>
      </c>
      <c r="N100" s="5">
        <f t="shared" si="218"/>
        <v>4.28484</v>
      </c>
      <c r="O100" s="5">
        <f t="shared" si="219"/>
        <v>0.88073999999999653</v>
      </c>
      <c r="P100" s="4">
        <f t="shared" si="220"/>
        <v>8.9272800000000672</v>
      </c>
    </row>
    <row r="101" spans="1:16" x14ac:dyDescent="0.5">
      <c r="A101" t="s">
        <v>5</v>
      </c>
      <c r="B101" t="str">
        <f t="shared" si="199"/>
        <v>RNG50xERR55xARM75xTDP55</v>
      </c>
      <c r="C101">
        <v>50</v>
      </c>
      <c r="D101">
        <v>55</v>
      </c>
      <c r="E101">
        <v>75</v>
      </c>
      <c r="F101">
        <v>55</v>
      </c>
      <c r="G101">
        <v>100000</v>
      </c>
      <c r="H101" s="3">
        <v>50485</v>
      </c>
      <c r="I101" s="3">
        <f t="shared" si="215"/>
        <v>49515</v>
      </c>
      <c r="J101" s="3">
        <v>434515</v>
      </c>
      <c r="K101" s="3">
        <v>429039</v>
      </c>
      <c r="L101" s="9">
        <f t="shared" si="216"/>
        <v>0.50485000000000002</v>
      </c>
      <c r="M101" s="5">
        <f t="shared" si="217"/>
        <v>4.3451500000000003</v>
      </c>
      <c r="N101" s="5">
        <f t="shared" si="218"/>
        <v>4.2903900000000004</v>
      </c>
      <c r="O101" s="5">
        <f t="shared" si="219"/>
        <v>0.5470200000000045</v>
      </c>
      <c r="P101" s="4">
        <f t="shared" si="220"/>
        <v>8.0281800000000043</v>
      </c>
    </row>
    <row r="102" spans="1:16" x14ac:dyDescent="0.5">
      <c r="A102" t="s">
        <v>5</v>
      </c>
      <c r="B102" t="str">
        <f t="shared" si="199"/>
        <v>RNG50xERR55xARM50xTDP55</v>
      </c>
      <c r="C102">
        <v>50</v>
      </c>
      <c r="D102">
        <v>55</v>
      </c>
      <c r="E102">
        <v>50</v>
      </c>
      <c r="F102">
        <v>55</v>
      </c>
      <c r="G102">
        <v>100000</v>
      </c>
      <c r="H102" s="3">
        <v>49245</v>
      </c>
      <c r="I102" s="3">
        <f t="shared" si="215"/>
        <v>50755</v>
      </c>
      <c r="J102" s="3">
        <v>433124</v>
      </c>
      <c r="K102" s="3">
        <v>439533</v>
      </c>
      <c r="L102" s="9">
        <f t="shared" si="200"/>
        <v>0.49245</v>
      </c>
      <c r="M102" s="5">
        <f t="shared" si="201"/>
        <v>4.3312400000000002</v>
      </c>
      <c r="N102" s="5">
        <f t="shared" si="202"/>
        <v>4.3953300000000004</v>
      </c>
      <c r="O102" s="5">
        <f t="shared" si="203"/>
        <v>-1.4617799999999992</v>
      </c>
      <c r="P102" s="4">
        <f t="shared" si="204"/>
        <v>-8.9721000000000011</v>
      </c>
    </row>
    <row r="103" spans="1:16" x14ac:dyDescent="0.5">
      <c r="A103" t="s">
        <v>5</v>
      </c>
      <c r="B103" t="str">
        <f t="shared" si="199"/>
        <v>RNG50xERR55xARM50xTDP50</v>
      </c>
      <c r="C103">
        <v>50</v>
      </c>
      <c r="D103">
        <v>55</v>
      </c>
      <c r="E103">
        <v>50</v>
      </c>
      <c r="F103">
        <v>50</v>
      </c>
      <c r="G103">
        <v>100000</v>
      </c>
      <c r="H103" s="3">
        <v>49844</v>
      </c>
      <c r="I103" s="3">
        <f t="shared" si="215"/>
        <v>50156</v>
      </c>
      <c r="J103" s="3">
        <v>433777</v>
      </c>
      <c r="K103" s="3">
        <v>436683</v>
      </c>
      <c r="L103" s="9">
        <f t="shared" si="200"/>
        <v>0.49843999999999999</v>
      </c>
      <c r="M103" s="5">
        <f t="shared" si="201"/>
        <v>4.3377699999999999</v>
      </c>
      <c r="N103" s="5">
        <f t="shared" si="202"/>
        <v>4.3668300000000002</v>
      </c>
      <c r="O103" s="5">
        <f t="shared" si="203"/>
        <v>-0.49139999999999984</v>
      </c>
      <c r="P103" s="4">
        <f t="shared" si="204"/>
        <v>-4.35509999999997</v>
      </c>
    </row>
    <row r="104" spans="1:16" x14ac:dyDescent="0.5">
      <c r="A104" t="s">
        <v>5</v>
      </c>
      <c r="B104" t="str">
        <f t="shared" si="199"/>
        <v>RNG50xERR55xARM50xTDP60</v>
      </c>
      <c r="C104">
        <v>50</v>
      </c>
      <c r="D104">
        <v>55</v>
      </c>
      <c r="E104">
        <v>50</v>
      </c>
      <c r="F104">
        <v>60</v>
      </c>
      <c r="G104">
        <v>100000</v>
      </c>
      <c r="H104" s="3">
        <v>50025</v>
      </c>
      <c r="I104" s="3">
        <f t="shared" si="215"/>
        <v>49975</v>
      </c>
      <c r="J104" s="3">
        <v>433597</v>
      </c>
      <c r="K104" s="3">
        <v>433782</v>
      </c>
      <c r="L104" s="9">
        <f t="shared" si="200"/>
        <v>0.50024999999999997</v>
      </c>
      <c r="M104" s="5">
        <f t="shared" si="201"/>
        <v>4.3359699999999997</v>
      </c>
      <c r="N104" s="5">
        <f t="shared" si="202"/>
        <v>4.3378199999999998</v>
      </c>
      <c r="O104" s="5">
        <f t="shared" si="203"/>
        <v>-0.19818000000000335</v>
      </c>
      <c r="P104" s="4">
        <f t="shared" si="204"/>
        <v>0.34452000000009875</v>
      </c>
    </row>
    <row r="105" spans="1:16" x14ac:dyDescent="0.5">
      <c r="A105" t="s">
        <v>5</v>
      </c>
      <c r="B105" t="str">
        <f t="shared" si="199"/>
        <v>RNG50xERR55xARM50xTDP70</v>
      </c>
      <c r="C105">
        <v>50</v>
      </c>
      <c r="D105">
        <v>55</v>
      </c>
      <c r="E105">
        <v>50</v>
      </c>
      <c r="F105">
        <v>70</v>
      </c>
      <c r="G105">
        <v>100000</v>
      </c>
      <c r="H105" s="3">
        <v>50228</v>
      </c>
      <c r="I105" s="3">
        <f t="shared" si="215"/>
        <v>49772</v>
      </c>
      <c r="J105" s="3">
        <v>433789</v>
      </c>
      <c r="K105" s="3">
        <v>429900</v>
      </c>
      <c r="L105" s="9">
        <f t="shared" si="200"/>
        <v>0.50227999999999995</v>
      </c>
      <c r="M105" s="5">
        <f t="shared" si="201"/>
        <v>4.3378899999999998</v>
      </c>
      <c r="N105" s="5">
        <f t="shared" si="202"/>
        <v>4.2990000000000004</v>
      </c>
      <c r="O105" s="5">
        <f t="shared" si="203"/>
        <v>0.1306799999999928</v>
      </c>
      <c r="P105" s="4">
        <f t="shared" si="204"/>
        <v>6.6333600000000033</v>
      </c>
    </row>
    <row r="106" spans="1:16" x14ac:dyDescent="0.5">
      <c r="A106" t="s">
        <v>5</v>
      </c>
      <c r="B106" t="str">
        <f t="shared" si="199"/>
        <v>RNG50xERR55xARM50xTDP75</v>
      </c>
      <c r="C106">
        <v>50</v>
      </c>
      <c r="D106">
        <v>55</v>
      </c>
      <c r="E106">
        <v>50</v>
      </c>
      <c r="F106">
        <v>75</v>
      </c>
      <c r="G106">
        <v>100000</v>
      </c>
      <c r="H106" s="3">
        <v>50010</v>
      </c>
      <c r="I106" s="3">
        <f t="shared" si="215"/>
        <v>49990</v>
      </c>
      <c r="J106" s="3">
        <v>432431</v>
      </c>
      <c r="K106" s="3">
        <v>431584</v>
      </c>
      <c r="L106" s="9">
        <f t="shared" ref="L106" si="221">H106/G106</f>
        <v>0.50009999999999999</v>
      </c>
      <c r="M106" s="5">
        <f t="shared" ref="M106" si="222">J106/G106</f>
        <v>4.3243099999999997</v>
      </c>
      <c r="N106" s="5">
        <f t="shared" ref="N106" si="223">K106/G106</f>
        <v>4.3158399999999997</v>
      </c>
      <c r="O106" s="5">
        <f t="shared" ref="O106" si="224">(L106-$L$7)*162</f>
        <v>-0.22248000000000068</v>
      </c>
      <c r="P106" s="4">
        <f t="shared" ref="P106" si="225">-(N106-$N$7)*162</f>
        <v>3.9052800000001167</v>
      </c>
    </row>
    <row r="107" spans="1:16" x14ac:dyDescent="0.5">
      <c r="A107" t="s">
        <v>5</v>
      </c>
      <c r="B107" t="str">
        <f t="shared" si="199"/>
        <v>RNG70xERR55xARM70xTDP55</v>
      </c>
      <c r="C107">
        <v>70</v>
      </c>
      <c r="D107">
        <v>55</v>
      </c>
      <c r="E107">
        <v>70</v>
      </c>
      <c r="F107">
        <v>55</v>
      </c>
      <c r="G107">
        <v>100000</v>
      </c>
      <c r="H107" s="3">
        <v>50826</v>
      </c>
      <c r="I107" s="3">
        <f t="shared" si="215"/>
        <v>49174</v>
      </c>
      <c r="J107" s="3">
        <v>433503</v>
      </c>
      <c r="K107" s="3">
        <v>424832</v>
      </c>
      <c r="L107" s="9">
        <f t="shared" ref="L107" si="226">H107/G107</f>
        <v>0.50826000000000005</v>
      </c>
      <c r="M107" s="5">
        <f t="shared" ref="M107" si="227">J107/G107</f>
        <v>4.3350299999999997</v>
      </c>
      <c r="N107" s="5">
        <f t="shared" ref="N107" si="228">K107/G107</f>
        <v>4.2483199999999997</v>
      </c>
      <c r="O107" s="5">
        <f t="shared" ref="O107" si="229">(L107-$L$7)*162</f>
        <v>1.0994400000000084</v>
      </c>
      <c r="P107" s="4">
        <f t="shared" ref="P107" si="230">-(N107-$N$7)*162</f>
        <v>14.843520000000121</v>
      </c>
    </row>
    <row r="108" spans="1:16" x14ac:dyDescent="0.5">
      <c r="A108" t="s">
        <v>5</v>
      </c>
      <c r="B108" t="str">
        <f t="shared" si="199"/>
        <v>RNG70xERR70xARM70xTDP70</v>
      </c>
      <c r="C108">
        <v>70</v>
      </c>
      <c r="D108">
        <v>70</v>
      </c>
      <c r="E108">
        <v>70</v>
      </c>
      <c r="F108">
        <v>70</v>
      </c>
      <c r="G108">
        <v>100000</v>
      </c>
      <c r="H108" s="3">
        <v>51407</v>
      </c>
      <c r="I108" s="3">
        <f t="shared" si="215"/>
        <v>48593</v>
      </c>
      <c r="J108" s="3">
        <v>434590</v>
      </c>
      <c r="K108" s="3">
        <v>419984</v>
      </c>
      <c r="L108" s="9">
        <f t="shared" ref="L108" si="231">H108/G108</f>
        <v>0.51407000000000003</v>
      </c>
      <c r="M108" s="5">
        <f t="shared" ref="M108" si="232">J108/G108</f>
        <v>4.3459000000000003</v>
      </c>
      <c r="N108" s="5">
        <f t="shared" ref="N108" si="233">K108/G108</f>
        <v>4.19984</v>
      </c>
      <c r="O108" s="5">
        <f t="shared" ref="O108" si="234">(L108-$L$7)*162</f>
        <v>2.0406600000000052</v>
      </c>
      <c r="P108" s="4">
        <f t="shared" ref="P108" si="235">-(N108-$N$7)*162</f>
        <v>22.697280000000063</v>
      </c>
    </row>
    <row r="109" spans="1:16" x14ac:dyDescent="0.5">
      <c r="A109" t="s">
        <v>5</v>
      </c>
      <c r="B109" t="str">
        <f t="shared" si="199"/>
        <v>RNG70xERR55xARM70xTDP70</v>
      </c>
      <c r="C109">
        <v>70</v>
      </c>
      <c r="D109">
        <v>55</v>
      </c>
      <c r="E109">
        <v>70</v>
      </c>
      <c r="F109">
        <v>70</v>
      </c>
      <c r="G109">
        <v>100000</v>
      </c>
      <c r="H109" s="3">
        <v>51160</v>
      </c>
      <c r="I109" s="3">
        <f t="shared" si="215"/>
        <v>48840</v>
      </c>
      <c r="J109" s="3">
        <v>432994</v>
      </c>
      <c r="K109" s="3">
        <v>421375</v>
      </c>
      <c r="L109" s="9">
        <f t="shared" ref="L109:L110" si="236">H109/G109</f>
        <v>0.51160000000000005</v>
      </c>
      <c r="M109" s="5">
        <f t="shared" ref="M109:M110" si="237">J109/G109</f>
        <v>4.3299399999999997</v>
      </c>
      <c r="N109" s="5">
        <f t="shared" ref="N109:N110" si="238">K109/G109</f>
        <v>4.2137500000000001</v>
      </c>
      <c r="O109" s="5">
        <f t="shared" ref="O109:O110" si="239">(L109-$L$7)*162</f>
        <v>1.64052000000001</v>
      </c>
      <c r="P109" s="4">
        <f t="shared" ref="P109:P110" si="240">-(N109-$N$7)*162</f>
        <v>20.443860000000047</v>
      </c>
    </row>
    <row r="110" spans="1:16" x14ac:dyDescent="0.5">
      <c r="A110" t="s">
        <v>5</v>
      </c>
      <c r="B110" t="str">
        <f t="shared" si="199"/>
        <v>RNG70xERR55xARM50xTDP70</v>
      </c>
      <c r="C110">
        <v>70</v>
      </c>
      <c r="D110">
        <v>55</v>
      </c>
      <c r="E110">
        <v>50</v>
      </c>
      <c r="F110">
        <v>70</v>
      </c>
      <c r="G110">
        <v>100000</v>
      </c>
      <c r="H110" s="3">
        <v>51245</v>
      </c>
      <c r="I110" s="3">
        <f t="shared" si="215"/>
        <v>48755</v>
      </c>
      <c r="J110" s="3">
        <v>433712</v>
      </c>
      <c r="K110" s="3">
        <v>422293</v>
      </c>
      <c r="L110" s="9">
        <f t="shared" si="236"/>
        <v>0.51244999999999996</v>
      </c>
      <c r="M110" s="5">
        <f t="shared" si="237"/>
        <v>4.3371199999999996</v>
      </c>
      <c r="N110" s="5">
        <f t="shared" si="238"/>
        <v>4.2229299999999999</v>
      </c>
      <c r="O110" s="5">
        <f t="shared" si="239"/>
        <v>1.7782199999999948</v>
      </c>
      <c r="P110" s="4">
        <f t="shared" si="240"/>
        <v>18.95670000000009</v>
      </c>
    </row>
    <row r="111" spans="1:16" x14ac:dyDescent="0.5">
      <c r="A111" t="s">
        <v>5</v>
      </c>
      <c r="B111" t="str">
        <f t="shared" si="199"/>
        <v>RNG40xERR55xARM50xTDP40</v>
      </c>
      <c r="C111">
        <v>40</v>
      </c>
      <c r="D111">
        <v>55</v>
      </c>
      <c r="E111">
        <v>50</v>
      </c>
      <c r="F111">
        <v>40</v>
      </c>
      <c r="G111">
        <v>100000</v>
      </c>
      <c r="H111" s="3">
        <v>49457</v>
      </c>
      <c r="I111" s="3">
        <f t="shared" si="215"/>
        <v>50543</v>
      </c>
      <c r="J111" s="3">
        <v>435334</v>
      </c>
      <c r="K111" s="3">
        <v>441324</v>
      </c>
      <c r="L111" s="9">
        <f t="shared" ref="L111" si="241">H111/G111</f>
        <v>0.49457000000000001</v>
      </c>
      <c r="M111" s="5">
        <f t="shared" ref="M111" si="242">J111/G111</f>
        <v>4.3533400000000002</v>
      </c>
      <c r="N111" s="5">
        <f t="shared" ref="N111" si="243">K111/G111</f>
        <v>4.4132400000000001</v>
      </c>
      <c r="O111" s="5">
        <f t="shared" ref="O111" si="244">(L111-$L$7)*162</f>
        <v>-1.1183399999999972</v>
      </c>
      <c r="P111" s="4">
        <f t="shared" ref="P111" si="245">-(N111-$N$7)*162</f>
        <v>-11.873519999999944</v>
      </c>
    </row>
    <row r="112" spans="1:16" x14ac:dyDescent="0.5">
      <c r="A112" t="s">
        <v>5</v>
      </c>
      <c r="B112" t="str">
        <f t="shared" si="199"/>
        <v>RNG50xERR55xARM70xTDP40</v>
      </c>
      <c r="C112">
        <v>50</v>
      </c>
      <c r="D112">
        <v>55</v>
      </c>
      <c r="E112">
        <v>70</v>
      </c>
      <c r="F112">
        <v>40</v>
      </c>
      <c r="G112">
        <v>100000</v>
      </c>
      <c r="H112" s="3">
        <v>49974</v>
      </c>
      <c r="I112" s="3">
        <f t="shared" si="215"/>
        <v>50026</v>
      </c>
      <c r="J112" s="3">
        <v>435186</v>
      </c>
      <c r="K112" s="3">
        <v>433638</v>
      </c>
      <c r="L112" s="9">
        <f t="shared" ref="L112" si="246">H112/G112</f>
        <v>0.49974000000000002</v>
      </c>
      <c r="M112" s="5">
        <f t="shared" ref="M112" si="247">J112/G112</f>
        <v>4.3518600000000003</v>
      </c>
      <c r="N112" s="5">
        <f t="shared" ref="N112" si="248">K112/G112</f>
        <v>4.3363800000000001</v>
      </c>
      <c r="O112" s="5">
        <f t="shared" ref="O112" si="249">(L112-$L$7)*162</f>
        <v>-0.28079999999999605</v>
      </c>
      <c r="P112" s="4">
        <f t="shared" ref="P112" si="250">-(N112-$N$7)*162</f>
        <v>0.57780000000004428</v>
      </c>
    </row>
    <row r="113" spans="1:16" x14ac:dyDescent="0.5">
      <c r="A113" t="s">
        <v>5</v>
      </c>
      <c r="B113" t="str">
        <f t="shared" si="199"/>
        <v>RNG40xERR55xARM40xTDP55</v>
      </c>
      <c r="C113">
        <v>40</v>
      </c>
      <c r="D113">
        <v>55</v>
      </c>
      <c r="E113">
        <v>40</v>
      </c>
      <c r="F113">
        <v>55</v>
      </c>
      <c r="G113">
        <v>100000</v>
      </c>
      <c r="H113" s="3">
        <v>49673</v>
      </c>
      <c r="I113" s="3">
        <f t="shared" si="215"/>
        <v>50327</v>
      </c>
      <c r="J113" s="3">
        <v>434120</v>
      </c>
      <c r="K113" s="3">
        <v>437141</v>
      </c>
      <c r="L113" s="9">
        <f t="shared" ref="L113:L114" si="251">H113/G113</f>
        <v>0.49673</v>
      </c>
      <c r="M113" s="5">
        <f t="shared" ref="M113" si="252">J113/G113</f>
        <v>4.3411999999999997</v>
      </c>
      <c r="N113" s="5">
        <f t="shared" ref="N113" si="253">K113/G113</f>
        <v>4.37141</v>
      </c>
      <c r="O113" s="5">
        <f t="shared" ref="O113" si="254">(L113-$L$7)*162</f>
        <v>-0.7684199999999981</v>
      </c>
      <c r="P113" s="4">
        <f t="shared" ref="P113" si="255">-(N113-$N$7)*162</f>
        <v>-5.0970599999999386</v>
      </c>
    </row>
    <row r="114" spans="1:16" x14ac:dyDescent="0.5">
      <c r="A114" t="s">
        <v>5</v>
      </c>
      <c r="B114" t="str">
        <f t="shared" si="199"/>
        <v>RNG75xERR55xARM75xTDP55</v>
      </c>
      <c r="C114">
        <v>75</v>
      </c>
      <c r="D114">
        <v>55</v>
      </c>
      <c r="E114">
        <v>75</v>
      </c>
      <c r="F114">
        <v>55</v>
      </c>
      <c r="G114">
        <v>100000</v>
      </c>
      <c r="H114" s="3">
        <v>51050</v>
      </c>
      <c r="I114" s="3">
        <f t="shared" si="215"/>
        <v>48950</v>
      </c>
      <c r="J114" s="3">
        <v>434813</v>
      </c>
      <c r="K114" s="3">
        <v>424849</v>
      </c>
      <c r="L114" s="9">
        <f t="shared" si="251"/>
        <v>0.51049999999999995</v>
      </c>
      <c r="M114" s="5">
        <f t="shared" ref="M114" si="256">J114/G114</f>
        <v>4.3481300000000003</v>
      </c>
      <c r="N114" s="5">
        <f t="shared" ref="N114" si="257">K114/G114</f>
        <v>4.2484900000000003</v>
      </c>
      <c r="O114" s="5">
        <f t="shared" ref="O114" si="258">(L114-$L$7)*162</f>
        <v>1.4623199999999936</v>
      </c>
      <c r="P114" s="4">
        <f t="shared" ref="P114" si="259">-(N114-$N$7)*162</f>
        <v>14.815980000000012</v>
      </c>
    </row>
    <row r="115" spans="1:16" x14ac:dyDescent="0.5">
      <c r="A115" t="s">
        <v>5</v>
      </c>
      <c r="B115" t="str">
        <f t="shared" si="199"/>
        <v>RNG55xERR55xARM40xTDP55</v>
      </c>
      <c r="C115">
        <v>55</v>
      </c>
      <c r="D115">
        <v>55</v>
      </c>
      <c r="E115">
        <v>40</v>
      </c>
      <c r="F115">
        <v>55</v>
      </c>
      <c r="G115">
        <v>100000</v>
      </c>
      <c r="H115" s="3">
        <v>50512</v>
      </c>
      <c r="I115" s="3">
        <f t="shared" si="215"/>
        <v>49488</v>
      </c>
      <c r="J115" s="3">
        <v>434251</v>
      </c>
      <c r="K115" s="3">
        <v>429973</v>
      </c>
      <c r="L115" s="9">
        <f t="shared" ref="L115" si="260">H115/G115</f>
        <v>0.50512000000000001</v>
      </c>
      <c r="M115" s="5">
        <f t="shared" ref="M115" si="261">J115/G115</f>
        <v>4.3425099999999999</v>
      </c>
      <c r="N115" s="5">
        <f t="shared" ref="N115" si="262">K115/G115</f>
        <v>4.2997300000000003</v>
      </c>
      <c r="O115" s="5">
        <f t="shared" ref="O115" si="263">(L115-$L$7)*162</f>
        <v>0.59076000000000328</v>
      </c>
      <c r="P115" s="4">
        <f t="shared" ref="P115" si="264">-(N115-$N$7)*162</f>
        <v>6.5151000000000199</v>
      </c>
    </row>
    <row r="116" spans="1:16" x14ac:dyDescent="0.5">
      <c r="A116" t="s">
        <v>5</v>
      </c>
      <c r="B116" t="str">
        <f t="shared" si="199"/>
        <v>RNG55xERR55xARM70xTDP55</v>
      </c>
      <c r="C116">
        <v>55</v>
      </c>
      <c r="D116">
        <v>55</v>
      </c>
      <c r="E116">
        <v>70</v>
      </c>
      <c r="F116">
        <v>55</v>
      </c>
      <c r="G116">
        <v>100000</v>
      </c>
      <c r="H116" s="3">
        <v>50783</v>
      </c>
      <c r="I116" s="3">
        <f t="shared" si="215"/>
        <v>49217</v>
      </c>
      <c r="J116" s="3">
        <v>433681</v>
      </c>
      <c r="K116" s="3">
        <v>426694</v>
      </c>
      <c r="L116" s="9">
        <f t="shared" ref="L116" si="265">H116/G116</f>
        <v>0.50783</v>
      </c>
      <c r="M116" s="5">
        <f t="shared" ref="M116" si="266">J116/G116</f>
        <v>4.3368099999999998</v>
      </c>
      <c r="N116" s="5">
        <f t="shared" ref="N116" si="267">K116/G116</f>
        <v>4.26694</v>
      </c>
      <c r="O116" s="5">
        <f t="shared" ref="O116" si="268">(L116-$L$7)*162</f>
        <v>1.0297800000000017</v>
      </c>
      <c r="P116" s="4">
        <f t="shared" ref="P116:P117" si="269">-(N116-$N$7)*162</f>
        <v>11.827080000000072</v>
      </c>
    </row>
    <row r="117" spans="1:16" x14ac:dyDescent="0.5">
      <c r="A117" t="s">
        <v>5</v>
      </c>
      <c r="B117" t="str">
        <f t="shared" si="199"/>
        <v>RNG55xERR55xARM70xTDP55</v>
      </c>
      <c r="C117">
        <v>55</v>
      </c>
      <c r="D117">
        <v>55</v>
      </c>
      <c r="E117">
        <v>70</v>
      </c>
      <c r="F117">
        <v>55</v>
      </c>
      <c r="G117">
        <v>100000</v>
      </c>
      <c r="H117" s="3">
        <v>50823</v>
      </c>
      <c r="I117" s="3">
        <f t="shared" si="215"/>
        <v>49177</v>
      </c>
      <c r="J117" s="3">
        <v>435130</v>
      </c>
      <c r="K117" s="3">
        <v>426591</v>
      </c>
      <c r="L117" s="9">
        <f t="shared" ref="L117" si="270">H117/G117</f>
        <v>0.50822999999999996</v>
      </c>
      <c r="M117" s="5">
        <f t="shared" ref="M117" si="271">J117/G117</f>
        <v>4.3513000000000002</v>
      </c>
      <c r="N117" s="5">
        <f t="shared" ref="N117" si="272">K117/G117</f>
        <v>4.2659099999999999</v>
      </c>
      <c r="O117" s="5">
        <f t="shared" ref="O117" si="273">(L117-$L$7)*162</f>
        <v>1.0945799999999946</v>
      </c>
      <c r="P117" s="4">
        <f t="shared" si="269"/>
        <v>11.993940000000086</v>
      </c>
    </row>
    <row r="118" spans="1:16" x14ac:dyDescent="0.5">
      <c r="A118" t="s">
        <v>5</v>
      </c>
      <c r="B118" t="str">
        <f t="shared" si="199"/>
        <v>RNG55xERR55xARM75xTDP55</v>
      </c>
      <c r="C118">
        <v>55</v>
      </c>
      <c r="D118">
        <v>55</v>
      </c>
      <c r="E118">
        <v>75</v>
      </c>
      <c r="F118">
        <v>55</v>
      </c>
      <c r="G118">
        <v>100000</v>
      </c>
      <c r="H118" s="3">
        <v>51209</v>
      </c>
      <c r="I118" s="3">
        <f t="shared" si="215"/>
        <v>48791</v>
      </c>
      <c r="J118" s="3">
        <v>435219</v>
      </c>
      <c r="K118" s="3">
        <v>424950</v>
      </c>
      <c r="L118" s="9">
        <f t="shared" ref="L118" si="274">H118/G118</f>
        <v>0.51209000000000005</v>
      </c>
      <c r="M118" s="5">
        <f t="shared" ref="M118" si="275">J118/G118</f>
        <v>4.3521900000000002</v>
      </c>
      <c r="N118" s="5">
        <f t="shared" ref="N118" si="276">K118/G118</f>
        <v>4.2495000000000003</v>
      </c>
      <c r="O118" s="5">
        <f t="shared" ref="O118" si="277">(L118-$L$7)*162</f>
        <v>1.7199000000000084</v>
      </c>
      <c r="P118" s="4">
        <f t="shared" ref="P118" si="278">-(N118-$N$7)*162</f>
        <v>14.652360000000019</v>
      </c>
    </row>
    <row r="119" spans="1:16" x14ac:dyDescent="0.5">
      <c r="A119" t="s">
        <v>5</v>
      </c>
      <c r="B119" t="str">
        <f t="shared" si="199"/>
        <v>RNG60xERR55xARM70xTDP55</v>
      </c>
      <c r="C119">
        <v>60</v>
      </c>
      <c r="D119">
        <v>55</v>
      </c>
      <c r="E119">
        <v>70</v>
      </c>
      <c r="F119">
        <v>55</v>
      </c>
      <c r="G119">
        <v>100000</v>
      </c>
      <c r="H119" s="3">
        <v>50876</v>
      </c>
      <c r="I119" s="3">
        <f t="shared" si="215"/>
        <v>49124</v>
      </c>
      <c r="J119" s="3">
        <v>433793</v>
      </c>
      <c r="K119" s="3">
        <v>425035</v>
      </c>
      <c r="L119" s="9">
        <f t="shared" ref="L119:L120" si="279">H119/G119</f>
        <v>0.50875999999999999</v>
      </c>
      <c r="M119" s="5">
        <f t="shared" ref="M119" si="280">J119/G119</f>
        <v>4.3379300000000001</v>
      </c>
      <c r="N119" s="5">
        <f t="shared" ref="N119" si="281">K119/G119</f>
        <v>4.2503500000000001</v>
      </c>
      <c r="O119" s="5">
        <f t="shared" ref="O119" si="282">(L119-$L$7)*162</f>
        <v>1.1804399999999995</v>
      </c>
      <c r="P119" s="4">
        <f t="shared" ref="P119" si="283">-(N119-$N$7)*162</f>
        <v>14.514660000000053</v>
      </c>
    </row>
    <row r="120" spans="1:16" x14ac:dyDescent="0.5">
      <c r="A120" t="s">
        <v>5</v>
      </c>
      <c r="B120" t="str">
        <f t="shared" si="199"/>
        <v>RNG60xERR55xARM75xTDP55</v>
      </c>
      <c r="C120">
        <v>60</v>
      </c>
      <c r="D120">
        <v>55</v>
      </c>
      <c r="E120">
        <v>75</v>
      </c>
      <c r="F120">
        <v>55</v>
      </c>
      <c r="G120">
        <v>100000</v>
      </c>
      <c r="H120" s="3">
        <v>50988</v>
      </c>
      <c r="I120" s="3">
        <f t="shared" si="215"/>
        <v>49012</v>
      </c>
      <c r="J120" s="3">
        <v>434762</v>
      </c>
      <c r="K120" s="3">
        <v>425178</v>
      </c>
      <c r="L120" s="9">
        <f t="shared" si="279"/>
        <v>0.50988</v>
      </c>
      <c r="M120" s="5">
        <f t="shared" ref="M120" si="284">J120/G120</f>
        <v>4.34762</v>
      </c>
      <c r="N120" s="5">
        <f t="shared" ref="N120" si="285">K120/G120</f>
        <v>4.2517800000000001</v>
      </c>
      <c r="O120" s="5">
        <f t="shared" ref="O120" si="286">(L120-$L$7)*162</f>
        <v>1.3618800000000011</v>
      </c>
      <c r="P120" s="4">
        <f t="shared" ref="P120" si="287">-(N120-$N$7)*162</f>
        <v>14.283000000000046</v>
      </c>
    </row>
    <row r="121" spans="1:16" x14ac:dyDescent="0.5">
      <c r="A121" t="s">
        <v>5</v>
      </c>
      <c r="B121" t="str">
        <f t="shared" si="199"/>
        <v>RNG45xERR55xARM40xTDP55</v>
      </c>
      <c r="C121">
        <v>45</v>
      </c>
      <c r="D121">
        <v>55</v>
      </c>
      <c r="E121">
        <v>40</v>
      </c>
      <c r="F121">
        <v>55</v>
      </c>
      <c r="G121">
        <v>100000</v>
      </c>
      <c r="H121" s="3">
        <v>49795</v>
      </c>
      <c r="I121" s="3">
        <f t="shared" si="215"/>
        <v>50205</v>
      </c>
      <c r="J121" s="3">
        <v>433631</v>
      </c>
      <c r="K121" s="3">
        <v>435884</v>
      </c>
      <c r="L121" s="9">
        <f t="shared" ref="L121" si="288">H121/G121</f>
        <v>0.49795</v>
      </c>
      <c r="M121" s="5">
        <f t="shared" ref="M121" si="289">J121/G121</f>
        <v>4.3363100000000001</v>
      </c>
      <c r="N121" s="5">
        <f t="shared" ref="N121" si="290">K121/G121</f>
        <v>4.3588399999999998</v>
      </c>
      <c r="O121" s="5">
        <f t="shared" ref="O121" si="291">(L121-$L$7)*162</f>
        <v>-0.57077999999999829</v>
      </c>
      <c r="P121" s="4">
        <f t="shared" ref="P121" si="292">-(N121-$N$7)*162</f>
        <v>-3.0607199999999075</v>
      </c>
    </row>
    <row r="122" spans="1:16" x14ac:dyDescent="0.5">
      <c r="A122" t="s">
        <v>5</v>
      </c>
      <c r="B122" t="str">
        <f t="shared" si="199"/>
        <v>RNG45xERR55xARM70xTDP55</v>
      </c>
      <c r="C122">
        <v>45</v>
      </c>
      <c r="D122">
        <v>55</v>
      </c>
      <c r="E122">
        <v>70</v>
      </c>
      <c r="F122">
        <v>55</v>
      </c>
      <c r="G122">
        <v>100000</v>
      </c>
      <c r="H122" s="3">
        <v>49903</v>
      </c>
      <c r="I122" s="3">
        <f t="shared" ref="I122:I123" si="293">G122-H122</f>
        <v>50097</v>
      </c>
      <c r="J122" s="3">
        <v>434140</v>
      </c>
      <c r="K122" s="3">
        <v>435346</v>
      </c>
      <c r="L122" s="9">
        <f t="shared" ref="L122" si="294">H122/G122</f>
        <v>0.49902999999999997</v>
      </c>
      <c r="M122" s="5">
        <f t="shared" ref="M122" si="295">J122/G122</f>
        <v>4.3414000000000001</v>
      </c>
      <c r="N122" s="5">
        <f t="shared" ref="N122" si="296">K122/G122</f>
        <v>4.3534600000000001</v>
      </c>
      <c r="O122" s="5">
        <f t="shared" ref="O122" si="297">(L122-$L$7)*162</f>
        <v>-0.39582000000000317</v>
      </c>
      <c r="P122" s="4">
        <f t="shared" ref="P122" si="298">-(N122-$N$7)*162</f>
        <v>-2.1891599999999531</v>
      </c>
    </row>
    <row r="123" spans="1:16" x14ac:dyDescent="0.5">
      <c r="A123" t="s">
        <v>5</v>
      </c>
      <c r="B123" t="str">
        <f t="shared" si="199"/>
        <v>RNG70xERR40xARM50xTDP55</v>
      </c>
      <c r="C123">
        <v>70</v>
      </c>
      <c r="D123">
        <v>40</v>
      </c>
      <c r="E123">
        <v>50</v>
      </c>
      <c r="F123">
        <v>55</v>
      </c>
      <c r="G123">
        <v>100000</v>
      </c>
      <c r="H123" s="3">
        <v>50642</v>
      </c>
      <c r="I123" s="3">
        <f t="shared" si="293"/>
        <v>49358</v>
      </c>
      <c r="J123" s="3">
        <v>434136</v>
      </c>
      <c r="K123" s="3">
        <v>426714</v>
      </c>
      <c r="L123" s="9">
        <f t="shared" ref="L123" si="299">H123/G123</f>
        <v>0.50641999999999998</v>
      </c>
      <c r="M123" s="5">
        <f t="shared" ref="M123" si="300">J123/G123</f>
        <v>4.3413599999999999</v>
      </c>
      <c r="N123" s="5">
        <f t="shared" ref="N123" si="301">K123/G123</f>
        <v>4.2671400000000004</v>
      </c>
      <c r="O123" s="5">
        <f t="shared" ref="O123" si="302">(L123-$L$7)*162</f>
        <v>0.80135999999999807</v>
      </c>
      <c r="P123" s="4">
        <f t="shared" ref="P123" si="303">-(N123-$N$7)*162</f>
        <v>11.794680000000003</v>
      </c>
    </row>
    <row r="124" spans="1:16" x14ac:dyDescent="0.5">
      <c r="A124" t="s">
        <v>5</v>
      </c>
      <c r="B124" t="str">
        <f t="shared" si="199"/>
        <v>RNG70xERR70xARM50xTDP55</v>
      </c>
      <c r="C124">
        <v>70</v>
      </c>
      <c r="D124">
        <v>70</v>
      </c>
      <c r="E124">
        <v>50</v>
      </c>
      <c r="F124">
        <v>55</v>
      </c>
      <c r="G124">
        <v>100000</v>
      </c>
      <c r="H124" s="3">
        <v>51045</v>
      </c>
      <c r="I124" s="3">
        <f t="shared" ref="I124:I129" si="304">G124-H124</f>
        <v>48955</v>
      </c>
      <c r="J124" s="3">
        <v>433536</v>
      </c>
      <c r="K124" s="3">
        <v>424393</v>
      </c>
      <c r="L124" s="9">
        <f t="shared" ref="L124" si="305">H124/G124</f>
        <v>0.51044999999999996</v>
      </c>
      <c r="M124" s="5">
        <f t="shared" ref="M124" si="306">J124/G124</f>
        <v>4.3353599999999997</v>
      </c>
      <c r="N124" s="5">
        <f t="shared" ref="N124" si="307">K124/G124</f>
        <v>4.2439299999999998</v>
      </c>
      <c r="O124" s="5">
        <f t="shared" ref="O124" si="308">(L124-$L$7)*162</f>
        <v>1.4542199999999945</v>
      </c>
      <c r="P124" s="4">
        <f t="shared" ref="P124" si="309">-(N124-$N$7)*162</f>
        <v>15.554700000000103</v>
      </c>
    </row>
    <row r="125" spans="1:16" x14ac:dyDescent="0.5">
      <c r="A125" t="s">
        <v>5</v>
      </c>
      <c r="B125" t="str">
        <f t="shared" si="199"/>
        <v>RNG55xERR70xARM50xTDP55</v>
      </c>
      <c r="C125">
        <v>55</v>
      </c>
      <c r="D125">
        <v>70</v>
      </c>
      <c r="E125">
        <v>50</v>
      </c>
      <c r="F125">
        <v>55</v>
      </c>
      <c r="G125">
        <v>100000</v>
      </c>
      <c r="H125" s="3">
        <v>51115</v>
      </c>
      <c r="I125" s="3">
        <f t="shared" si="304"/>
        <v>48885</v>
      </c>
      <c r="J125" s="3">
        <v>435380</v>
      </c>
      <c r="K125" s="3">
        <v>425400</v>
      </c>
      <c r="L125" s="9">
        <f t="shared" ref="L125" si="310">H125/G125</f>
        <v>0.51114999999999999</v>
      </c>
      <c r="M125" s="5">
        <f t="shared" ref="M125" si="311">J125/G125</f>
        <v>4.3537999999999997</v>
      </c>
      <c r="N125" s="5">
        <f t="shared" ref="N125" si="312">K125/G125</f>
        <v>4.2539999999999996</v>
      </c>
      <c r="O125" s="5">
        <f t="shared" ref="O125" si="313">(L125-$L$7)*162</f>
        <v>1.56762</v>
      </c>
      <c r="P125" s="4">
        <f t="shared" ref="P125" si="314">-(N125-$N$7)*162</f>
        <v>13.923360000000136</v>
      </c>
    </row>
    <row r="126" spans="1:16" x14ac:dyDescent="0.5">
      <c r="A126" t="s">
        <v>5</v>
      </c>
      <c r="B126" t="str">
        <f t="shared" ref="B126:B153" si="315">_xlfn.CONCAT("RNG",C126,"xERR",D126,"xARM",E126,"xTDP",F126)</f>
        <v>RNG55xERR55xARM50xTDP70</v>
      </c>
      <c r="C126">
        <v>55</v>
      </c>
      <c r="D126">
        <v>55</v>
      </c>
      <c r="E126">
        <v>50</v>
      </c>
      <c r="F126">
        <v>70</v>
      </c>
      <c r="G126">
        <v>100000</v>
      </c>
      <c r="H126" s="3">
        <v>51020</v>
      </c>
      <c r="I126" s="3">
        <f t="shared" si="304"/>
        <v>48980</v>
      </c>
      <c r="J126" s="3">
        <v>434618</v>
      </c>
      <c r="K126" s="3">
        <v>423450</v>
      </c>
      <c r="L126" s="9">
        <f t="shared" ref="L126" si="316">H126/G126</f>
        <v>0.51019999999999999</v>
      </c>
      <c r="M126" s="5">
        <f t="shared" ref="M126" si="317">J126/G126</f>
        <v>4.3461800000000004</v>
      </c>
      <c r="N126" s="5">
        <f t="shared" ref="N126" si="318">K126/G126</f>
        <v>4.2344999999999997</v>
      </c>
      <c r="O126" s="5">
        <f t="shared" ref="O126" si="319">(L126-$L$7)*162</f>
        <v>1.413719999999999</v>
      </c>
      <c r="P126" s="4">
        <f t="shared" ref="P126" si="320">-(N126-$N$7)*162</f>
        <v>17.082360000000111</v>
      </c>
    </row>
    <row r="127" spans="1:16" x14ac:dyDescent="0.5">
      <c r="A127" t="s">
        <v>5</v>
      </c>
      <c r="B127" t="str">
        <f t="shared" si="315"/>
        <v>RNG50xERR55xARM70xTDP70</v>
      </c>
      <c r="C127">
        <v>50</v>
      </c>
      <c r="D127">
        <v>55</v>
      </c>
      <c r="E127">
        <v>70</v>
      </c>
      <c r="F127">
        <v>70</v>
      </c>
      <c r="G127">
        <v>100000</v>
      </c>
      <c r="H127" s="3">
        <v>50436</v>
      </c>
      <c r="I127" s="3">
        <f t="shared" si="304"/>
        <v>49564</v>
      </c>
      <c r="J127" s="3">
        <v>434527</v>
      </c>
      <c r="K127" s="3">
        <v>429507</v>
      </c>
      <c r="L127" s="9">
        <f t="shared" ref="L127:L129" si="321">H127/G127</f>
        <v>0.50436000000000003</v>
      </c>
      <c r="M127" s="5">
        <f t="shared" ref="M127:M129" si="322">J127/G127</f>
        <v>4.3452700000000002</v>
      </c>
      <c r="N127" s="5">
        <f t="shared" ref="N127:N129" si="323">K127/G127</f>
        <v>4.2950699999999999</v>
      </c>
      <c r="O127" s="5">
        <f t="shared" ref="O127:O129" si="324">(L127-$L$7)*162</f>
        <v>0.46764000000000605</v>
      </c>
      <c r="P127" s="4">
        <f t="shared" ref="P127:P129" si="325">-(N127-$N$7)*162</f>
        <v>7.2700200000000734</v>
      </c>
    </row>
    <row r="128" spans="1:16" x14ac:dyDescent="0.5">
      <c r="A128" t="s">
        <v>5</v>
      </c>
      <c r="B128" t="str">
        <f t="shared" si="315"/>
        <v>RNG50xERR55xARM40xTDP70</v>
      </c>
      <c r="C128">
        <v>50</v>
      </c>
      <c r="D128">
        <v>55</v>
      </c>
      <c r="E128">
        <v>40</v>
      </c>
      <c r="F128">
        <v>70</v>
      </c>
      <c r="G128">
        <v>100000</v>
      </c>
      <c r="H128" s="3">
        <v>50099</v>
      </c>
      <c r="I128" s="3">
        <f t="shared" si="304"/>
        <v>49901</v>
      </c>
      <c r="J128" s="3">
        <v>433653</v>
      </c>
      <c r="K128" s="3">
        <v>433793</v>
      </c>
      <c r="L128" s="9">
        <f t="shared" si="321"/>
        <v>0.50099000000000005</v>
      </c>
      <c r="M128" s="5">
        <f t="shared" si="322"/>
        <v>4.3365299999999998</v>
      </c>
      <c r="N128" s="5">
        <f t="shared" si="323"/>
        <v>4.3379300000000001</v>
      </c>
      <c r="O128" s="5">
        <f t="shared" si="324"/>
        <v>-7.8299999999991376E-2</v>
      </c>
      <c r="P128" s="4">
        <f t="shared" si="325"/>
        <v>0.32670000000005395</v>
      </c>
    </row>
    <row r="129" spans="1:16" x14ac:dyDescent="0.5">
      <c r="A129" t="s">
        <v>5</v>
      </c>
      <c r="B129" t="str">
        <f t="shared" si="315"/>
        <v>RNG50xERR55xARM40xTDP40</v>
      </c>
      <c r="C129">
        <v>50</v>
      </c>
      <c r="D129">
        <v>55</v>
      </c>
      <c r="E129">
        <v>40</v>
      </c>
      <c r="F129">
        <v>40</v>
      </c>
      <c r="G129">
        <v>100000</v>
      </c>
      <c r="H129" s="3">
        <v>49410</v>
      </c>
      <c r="I129" s="3">
        <f t="shared" si="304"/>
        <v>50590</v>
      </c>
      <c r="J129" s="3">
        <v>434086</v>
      </c>
      <c r="K129" s="3">
        <v>441178</v>
      </c>
      <c r="L129" s="9">
        <f t="shared" si="321"/>
        <v>0.49409999999999998</v>
      </c>
      <c r="M129" s="5">
        <f t="shared" si="322"/>
        <v>4.3408600000000002</v>
      </c>
      <c r="N129" s="5">
        <f t="shared" si="323"/>
        <v>4.4117800000000003</v>
      </c>
      <c r="O129" s="5">
        <f t="shared" si="324"/>
        <v>-1.1944800000000015</v>
      </c>
      <c r="P129" s="4">
        <f t="shared" si="325"/>
        <v>-11.636999999999977</v>
      </c>
    </row>
    <row r="130" spans="1:16" x14ac:dyDescent="0.5">
      <c r="A130" s="18" t="s">
        <v>6</v>
      </c>
      <c r="B130" s="18" t="s">
        <v>165</v>
      </c>
      <c r="C130" s="18">
        <v>55</v>
      </c>
      <c r="D130" s="18">
        <v>55</v>
      </c>
      <c r="E130" s="18">
        <v>55</v>
      </c>
      <c r="F130" s="18">
        <v>50</v>
      </c>
      <c r="G130" s="18">
        <v>100000</v>
      </c>
      <c r="H130" s="19">
        <v>50147.333333333336</v>
      </c>
      <c r="I130" s="19">
        <v>49852.666666666664</v>
      </c>
      <c r="J130" s="19">
        <v>434431.33333333331</v>
      </c>
      <c r="K130" s="19">
        <v>433994.66666666669</v>
      </c>
      <c r="L130" s="20">
        <v>0.50147333333333333</v>
      </c>
      <c r="M130" s="21">
        <v>4.344313333333333</v>
      </c>
      <c r="N130" s="21">
        <v>4.3399466666666671</v>
      </c>
      <c r="O130" s="21" t="s">
        <v>50</v>
      </c>
      <c r="P130" s="22" t="s">
        <v>50</v>
      </c>
    </row>
    <row r="131" spans="1:16" x14ac:dyDescent="0.5">
      <c r="A131" t="s">
        <v>6</v>
      </c>
      <c r="B131" t="str">
        <f t="shared" si="315"/>
        <v>RNG40xERR55xARM55xTDP50</v>
      </c>
      <c r="C131">
        <v>40</v>
      </c>
      <c r="D131">
        <v>55</v>
      </c>
      <c r="E131">
        <v>55</v>
      </c>
      <c r="F131">
        <v>50</v>
      </c>
      <c r="G131">
        <v>100000</v>
      </c>
      <c r="H131" s="3">
        <v>49841</v>
      </c>
      <c r="I131" s="3">
        <f t="shared" ref="I131:I191" si="326">G131-H131</f>
        <v>50159</v>
      </c>
      <c r="J131" s="3">
        <v>434378</v>
      </c>
      <c r="K131" s="3">
        <v>437341</v>
      </c>
      <c r="L131" s="9">
        <f t="shared" ref="L131" si="327">H131/G131</f>
        <v>0.49841000000000002</v>
      </c>
      <c r="M131" s="5">
        <f t="shared" ref="M131" si="328">J131/G131</f>
        <v>4.3437799999999998</v>
      </c>
      <c r="N131" s="5">
        <f t="shared" ref="N131" si="329">K131/G131</f>
        <v>4.3734099999999998</v>
      </c>
      <c r="O131" s="5">
        <f t="shared" ref="O131" si="330">(L131-$L$7)*162</f>
        <v>-0.4962599999999957</v>
      </c>
      <c r="P131" s="4">
        <f t="shared" ref="P131" si="331">-(N131-$N$7)*162</f>
        <v>-5.421059999999903</v>
      </c>
    </row>
    <row r="132" spans="1:16" x14ac:dyDescent="0.5">
      <c r="A132" t="s">
        <v>6</v>
      </c>
      <c r="B132" t="str">
        <f t="shared" si="315"/>
        <v>RNG50xERR55xARM55xTDP50</v>
      </c>
      <c r="C132">
        <v>50</v>
      </c>
      <c r="D132">
        <v>55</v>
      </c>
      <c r="E132">
        <v>55</v>
      </c>
      <c r="F132">
        <v>50</v>
      </c>
      <c r="G132">
        <v>100000</v>
      </c>
      <c r="H132" s="3">
        <v>49723</v>
      </c>
      <c r="I132" s="3">
        <f t="shared" si="326"/>
        <v>50277</v>
      </c>
      <c r="J132" s="3">
        <v>434068</v>
      </c>
      <c r="K132" s="3">
        <v>437661</v>
      </c>
      <c r="L132" s="9">
        <f t="shared" ref="L132:L147" si="332">H132/G132</f>
        <v>0.49723000000000001</v>
      </c>
      <c r="M132" s="5">
        <f t="shared" ref="M132:M147" si="333">J132/G132</f>
        <v>4.3406799999999999</v>
      </c>
      <c r="N132" s="5">
        <f t="shared" ref="N132:N147" si="334">K132/G132</f>
        <v>4.3766100000000003</v>
      </c>
      <c r="O132" s="5">
        <f t="shared" ref="O132:O147" si="335">(L132-$L$7)*162</f>
        <v>-0.68741999999999803</v>
      </c>
      <c r="P132" s="4">
        <f t="shared" ref="P132:P147" si="336">-(N132-$N$7)*162</f>
        <v>-5.9394599999999897</v>
      </c>
    </row>
    <row r="133" spans="1:16" x14ac:dyDescent="0.5">
      <c r="A133" t="s">
        <v>6</v>
      </c>
      <c r="B133" t="str">
        <f t="shared" si="315"/>
        <v>RNG60xERR55xARM55xTDP50</v>
      </c>
      <c r="C133">
        <v>60</v>
      </c>
      <c r="D133">
        <v>55</v>
      </c>
      <c r="E133">
        <v>55</v>
      </c>
      <c r="F133">
        <v>50</v>
      </c>
      <c r="G133">
        <v>100000</v>
      </c>
      <c r="H133" s="3">
        <v>50509</v>
      </c>
      <c r="I133" s="3">
        <f t="shared" si="326"/>
        <v>49491</v>
      </c>
      <c r="J133" s="3">
        <v>433168</v>
      </c>
      <c r="K133" s="3">
        <v>429013</v>
      </c>
      <c r="L133" s="9">
        <f t="shared" si="332"/>
        <v>0.50509000000000004</v>
      </c>
      <c r="M133" s="5">
        <f t="shared" si="333"/>
        <v>4.3316800000000004</v>
      </c>
      <c r="N133" s="5">
        <f t="shared" si="334"/>
        <v>4.2901300000000004</v>
      </c>
      <c r="O133" s="5">
        <f t="shared" si="335"/>
        <v>0.58590000000000741</v>
      </c>
      <c r="P133" s="4">
        <f t="shared" si="336"/>
        <v>8.0702999999999925</v>
      </c>
    </row>
    <row r="134" spans="1:16" x14ac:dyDescent="0.5">
      <c r="A134" t="s">
        <v>6</v>
      </c>
      <c r="B134" t="str">
        <f t="shared" si="315"/>
        <v>RNG70xERR55xARM55xTDP50</v>
      </c>
      <c r="C134">
        <v>70</v>
      </c>
      <c r="D134">
        <v>55</v>
      </c>
      <c r="E134">
        <v>55</v>
      </c>
      <c r="F134">
        <v>50</v>
      </c>
      <c r="G134">
        <v>100000</v>
      </c>
      <c r="H134" s="3">
        <v>50958</v>
      </c>
      <c r="I134" s="3">
        <f t="shared" si="326"/>
        <v>49042</v>
      </c>
      <c r="J134" s="3">
        <v>434045</v>
      </c>
      <c r="K134" s="3">
        <v>425640</v>
      </c>
      <c r="L134" s="9">
        <f t="shared" si="332"/>
        <v>0.50958000000000003</v>
      </c>
      <c r="M134" s="5">
        <f t="shared" si="333"/>
        <v>4.3404499999999997</v>
      </c>
      <c r="N134" s="5">
        <f t="shared" si="334"/>
        <v>4.2564000000000002</v>
      </c>
      <c r="O134" s="5">
        <f t="shared" si="335"/>
        <v>1.3132800000000064</v>
      </c>
      <c r="P134" s="4">
        <f t="shared" si="336"/>
        <v>13.534560000000035</v>
      </c>
    </row>
    <row r="135" spans="1:16" x14ac:dyDescent="0.5">
      <c r="A135" t="s">
        <v>6</v>
      </c>
      <c r="B135" t="str">
        <f t="shared" si="315"/>
        <v>RNG75xERR55xARM55xTDP50</v>
      </c>
      <c r="C135">
        <v>75</v>
      </c>
      <c r="D135">
        <v>55</v>
      </c>
      <c r="E135">
        <v>55</v>
      </c>
      <c r="F135">
        <v>50</v>
      </c>
      <c r="G135">
        <v>100000</v>
      </c>
      <c r="H135" s="3">
        <v>50857</v>
      </c>
      <c r="I135" s="3">
        <f t="shared" si="326"/>
        <v>49143</v>
      </c>
      <c r="J135" s="3">
        <v>433144</v>
      </c>
      <c r="K135" s="3">
        <v>425103</v>
      </c>
      <c r="L135" s="9">
        <f t="shared" si="332"/>
        <v>0.50856999999999997</v>
      </c>
      <c r="M135" s="5">
        <f t="shared" si="333"/>
        <v>4.3314399999999997</v>
      </c>
      <c r="N135" s="5">
        <f t="shared" si="334"/>
        <v>4.2510300000000001</v>
      </c>
      <c r="O135" s="5">
        <f t="shared" si="335"/>
        <v>1.1496599999999957</v>
      </c>
      <c r="P135" s="4">
        <f t="shared" si="336"/>
        <v>14.40450000000005</v>
      </c>
    </row>
    <row r="136" spans="1:16" x14ac:dyDescent="0.5">
      <c r="A136" t="s">
        <v>6</v>
      </c>
      <c r="B136" t="str">
        <f t="shared" si="315"/>
        <v>RNG55xERR40xARM55xTDP50</v>
      </c>
      <c r="C136">
        <v>55</v>
      </c>
      <c r="D136">
        <v>40</v>
      </c>
      <c r="E136">
        <v>55</v>
      </c>
      <c r="F136">
        <v>50</v>
      </c>
      <c r="G136">
        <v>100000</v>
      </c>
      <c r="H136" s="3">
        <v>50006</v>
      </c>
      <c r="I136" s="3">
        <f t="shared" si="326"/>
        <v>49994</v>
      </c>
      <c r="J136" s="3">
        <v>435390</v>
      </c>
      <c r="K136" s="3">
        <v>436298</v>
      </c>
      <c r="L136" s="9">
        <f t="shared" si="332"/>
        <v>0.50005999999999995</v>
      </c>
      <c r="M136" s="5">
        <f t="shared" si="333"/>
        <v>4.3539000000000003</v>
      </c>
      <c r="N136" s="5">
        <f t="shared" si="334"/>
        <v>4.3629800000000003</v>
      </c>
      <c r="O136" s="5">
        <f t="shared" si="335"/>
        <v>-0.22896000000000716</v>
      </c>
      <c r="P136" s="4">
        <f t="shared" si="336"/>
        <v>-3.7313999999999847</v>
      </c>
    </row>
    <row r="137" spans="1:16" x14ac:dyDescent="0.5">
      <c r="A137" t="s">
        <v>6</v>
      </c>
      <c r="B137" t="str">
        <f t="shared" si="315"/>
        <v>RNG55xERR50xARM55xTDP50</v>
      </c>
      <c r="C137">
        <v>55</v>
      </c>
      <c r="D137">
        <v>50</v>
      </c>
      <c r="E137">
        <v>55</v>
      </c>
      <c r="F137">
        <v>50</v>
      </c>
      <c r="G137">
        <v>100000</v>
      </c>
      <c r="H137" s="3">
        <v>49615</v>
      </c>
      <c r="I137" s="3">
        <f t="shared" si="326"/>
        <v>50385</v>
      </c>
      <c r="J137" s="3">
        <v>434774</v>
      </c>
      <c r="K137" s="3">
        <v>436915</v>
      </c>
      <c r="L137" s="9">
        <f t="shared" si="332"/>
        <v>0.49614999999999998</v>
      </c>
      <c r="M137" s="5">
        <f t="shared" si="333"/>
        <v>4.3477399999999999</v>
      </c>
      <c r="N137" s="5">
        <f t="shared" si="334"/>
        <v>4.3691500000000003</v>
      </c>
      <c r="O137" s="5">
        <f t="shared" si="335"/>
        <v>-0.86238000000000214</v>
      </c>
      <c r="P137" s="4">
        <f t="shared" si="336"/>
        <v>-4.7309399999999862</v>
      </c>
    </row>
    <row r="138" spans="1:16" x14ac:dyDescent="0.5">
      <c r="A138" t="s">
        <v>6</v>
      </c>
      <c r="B138" t="str">
        <f t="shared" si="315"/>
        <v>RNG55xERR60xARM55xTDP50</v>
      </c>
      <c r="C138">
        <v>55</v>
      </c>
      <c r="D138">
        <v>60</v>
      </c>
      <c r="E138">
        <v>55</v>
      </c>
      <c r="F138">
        <v>50</v>
      </c>
      <c r="G138">
        <v>100000</v>
      </c>
      <c r="H138" s="3">
        <v>49770</v>
      </c>
      <c r="I138" s="3">
        <f t="shared" si="326"/>
        <v>50230</v>
      </c>
      <c r="J138" s="3">
        <v>432854</v>
      </c>
      <c r="K138" s="3">
        <v>435141</v>
      </c>
      <c r="L138" s="9">
        <f t="shared" si="332"/>
        <v>0.49769999999999998</v>
      </c>
      <c r="M138" s="5">
        <f t="shared" si="333"/>
        <v>4.3285400000000003</v>
      </c>
      <c r="N138" s="5">
        <f t="shared" si="334"/>
        <v>4.3514099999999996</v>
      </c>
      <c r="O138" s="5">
        <f t="shared" si="335"/>
        <v>-0.61128000000000282</v>
      </c>
      <c r="P138" s="4">
        <f t="shared" si="336"/>
        <v>-1.8570599999998638</v>
      </c>
    </row>
    <row r="139" spans="1:16" x14ac:dyDescent="0.5">
      <c r="A139" t="s">
        <v>6</v>
      </c>
      <c r="B139" t="str">
        <f t="shared" si="315"/>
        <v>RNG55xERR65xARM55xTDP50</v>
      </c>
      <c r="C139">
        <v>55</v>
      </c>
      <c r="D139">
        <v>65</v>
      </c>
      <c r="E139">
        <v>55</v>
      </c>
      <c r="F139">
        <v>50</v>
      </c>
      <c r="G139">
        <v>100000</v>
      </c>
      <c r="H139" s="3">
        <v>50310</v>
      </c>
      <c r="I139" s="3">
        <f t="shared" si="326"/>
        <v>49690</v>
      </c>
      <c r="J139" s="3">
        <v>435536</v>
      </c>
      <c r="K139" s="3">
        <v>433651</v>
      </c>
      <c r="L139" s="9">
        <f t="shared" ref="L139" si="337">H139/G139</f>
        <v>0.50309999999999999</v>
      </c>
      <c r="M139" s="5">
        <f t="shared" ref="M139" si="338">J139/G139</f>
        <v>4.3553600000000001</v>
      </c>
      <c r="N139" s="5">
        <f t="shared" ref="N139" si="339">K139/G139</f>
        <v>4.3365099999999996</v>
      </c>
      <c r="O139" s="5">
        <f t="shared" ref="O139" si="340">(L139-$L$7)*162</f>
        <v>0.26351999999999975</v>
      </c>
      <c r="P139" s="4">
        <f t="shared" ref="P139" si="341">-(N139-$N$7)*162</f>
        <v>0.55674000000012214</v>
      </c>
    </row>
    <row r="140" spans="1:16" x14ac:dyDescent="0.5">
      <c r="A140" t="s">
        <v>6</v>
      </c>
      <c r="B140" t="str">
        <f t="shared" si="315"/>
        <v>RNG55xERR70xARM55xTDP50</v>
      </c>
      <c r="C140">
        <v>55</v>
      </c>
      <c r="D140">
        <v>70</v>
      </c>
      <c r="E140">
        <v>55</v>
      </c>
      <c r="F140">
        <v>50</v>
      </c>
      <c r="G140">
        <v>100000</v>
      </c>
      <c r="H140" s="3">
        <v>50119</v>
      </c>
      <c r="I140" s="3">
        <f t="shared" si="326"/>
        <v>49881</v>
      </c>
      <c r="J140" s="3">
        <v>434527</v>
      </c>
      <c r="K140" s="3">
        <v>432703</v>
      </c>
      <c r="L140" s="9">
        <f t="shared" si="332"/>
        <v>0.50119000000000002</v>
      </c>
      <c r="M140" s="5">
        <f t="shared" si="333"/>
        <v>4.3452700000000002</v>
      </c>
      <c r="N140" s="5">
        <f t="shared" si="334"/>
        <v>4.3270299999999997</v>
      </c>
      <c r="O140" s="5">
        <f t="shared" si="335"/>
        <v>-4.5899999999994945E-2</v>
      </c>
      <c r="P140" s="4">
        <f t="shared" si="336"/>
        <v>2.0925000000001113</v>
      </c>
    </row>
    <row r="141" spans="1:16" x14ac:dyDescent="0.5">
      <c r="A141" t="s">
        <v>6</v>
      </c>
      <c r="B141" t="str">
        <f t="shared" si="315"/>
        <v>RNG55xERR75xARM55xTDP50</v>
      </c>
      <c r="C141">
        <v>55</v>
      </c>
      <c r="D141">
        <v>75</v>
      </c>
      <c r="E141">
        <v>55</v>
      </c>
      <c r="F141">
        <v>50</v>
      </c>
      <c r="G141">
        <v>100000</v>
      </c>
      <c r="H141" s="3">
        <v>50350</v>
      </c>
      <c r="I141" s="3">
        <f t="shared" si="326"/>
        <v>49650</v>
      </c>
      <c r="J141" s="3">
        <v>433341</v>
      </c>
      <c r="K141" s="3">
        <v>431901</v>
      </c>
      <c r="L141" s="9">
        <f t="shared" si="332"/>
        <v>0.50349999999999995</v>
      </c>
      <c r="M141" s="5">
        <f t="shared" si="333"/>
        <v>4.3334099999999998</v>
      </c>
      <c r="N141" s="5">
        <f t="shared" si="334"/>
        <v>4.3190099999999996</v>
      </c>
      <c r="O141" s="5">
        <f t="shared" si="335"/>
        <v>0.32831999999999262</v>
      </c>
      <c r="P141" s="4">
        <f t="shared" si="336"/>
        <v>3.3917400000001336</v>
      </c>
    </row>
    <row r="142" spans="1:16" x14ac:dyDescent="0.5">
      <c r="A142" t="s">
        <v>6</v>
      </c>
      <c r="B142" t="str">
        <f t="shared" si="315"/>
        <v>RNG55xERR55xARM40xTDP50</v>
      </c>
      <c r="C142">
        <v>55</v>
      </c>
      <c r="D142">
        <v>55</v>
      </c>
      <c r="E142">
        <v>40</v>
      </c>
      <c r="F142">
        <v>50</v>
      </c>
      <c r="G142">
        <v>100000</v>
      </c>
      <c r="H142" s="3">
        <v>49638</v>
      </c>
      <c r="I142" s="3">
        <f t="shared" si="326"/>
        <v>50362</v>
      </c>
      <c r="J142" s="3">
        <v>436075</v>
      </c>
      <c r="K142" s="3">
        <v>440118</v>
      </c>
      <c r="L142" s="9">
        <f t="shared" si="332"/>
        <v>0.49637999999999999</v>
      </c>
      <c r="M142" s="5">
        <f t="shared" si="333"/>
        <v>4.3607500000000003</v>
      </c>
      <c r="N142" s="5">
        <f t="shared" si="334"/>
        <v>4.4011800000000001</v>
      </c>
      <c r="O142" s="5">
        <f t="shared" si="335"/>
        <v>-0.82512000000000085</v>
      </c>
      <c r="P142" s="4">
        <f t="shared" si="336"/>
        <v>-9.9197999999999507</v>
      </c>
    </row>
    <row r="143" spans="1:16" x14ac:dyDescent="0.5">
      <c r="A143" t="s">
        <v>6</v>
      </c>
      <c r="B143" t="str">
        <f t="shared" si="315"/>
        <v>RNG55xERR55xARM50xTDP50</v>
      </c>
      <c r="C143">
        <v>55</v>
      </c>
      <c r="D143">
        <v>55</v>
      </c>
      <c r="E143">
        <v>50</v>
      </c>
      <c r="F143">
        <v>50</v>
      </c>
      <c r="G143">
        <v>100000</v>
      </c>
      <c r="H143" s="3">
        <v>49578</v>
      </c>
      <c r="I143" s="3">
        <f t="shared" si="326"/>
        <v>50422</v>
      </c>
      <c r="J143" s="3">
        <v>432616</v>
      </c>
      <c r="K143" s="3">
        <v>437053</v>
      </c>
      <c r="L143" s="9">
        <f t="shared" si="332"/>
        <v>0.49578</v>
      </c>
      <c r="M143" s="5">
        <f t="shared" si="333"/>
        <v>4.3261599999999998</v>
      </c>
      <c r="N143" s="5">
        <f t="shared" si="334"/>
        <v>4.3705299999999996</v>
      </c>
      <c r="O143" s="5">
        <f t="shared" si="335"/>
        <v>-0.92231999999999914</v>
      </c>
      <c r="P143" s="4">
        <f t="shared" si="336"/>
        <v>-4.954499999999868</v>
      </c>
    </row>
    <row r="144" spans="1:16" x14ac:dyDescent="0.5">
      <c r="A144" t="s">
        <v>6</v>
      </c>
      <c r="B144" t="str">
        <f t="shared" si="315"/>
        <v>RNG55xERR55xARM60xTDP50</v>
      </c>
      <c r="C144">
        <v>55</v>
      </c>
      <c r="D144">
        <v>55</v>
      </c>
      <c r="E144">
        <v>60</v>
      </c>
      <c r="F144">
        <v>50</v>
      </c>
      <c r="G144">
        <v>100000</v>
      </c>
      <c r="H144" s="3">
        <v>50410</v>
      </c>
      <c r="I144" s="3">
        <f t="shared" si="326"/>
        <v>49590</v>
      </c>
      <c r="J144" s="3">
        <v>433774</v>
      </c>
      <c r="K144" s="3">
        <v>429569</v>
      </c>
      <c r="L144" s="9">
        <f t="shared" si="332"/>
        <v>0.50409999999999999</v>
      </c>
      <c r="M144" s="5">
        <f t="shared" si="333"/>
        <v>4.3377400000000002</v>
      </c>
      <c r="N144" s="5">
        <f t="shared" si="334"/>
        <v>4.2956899999999996</v>
      </c>
      <c r="O144" s="5">
        <f t="shared" si="335"/>
        <v>0.4255199999999999</v>
      </c>
      <c r="P144" s="4">
        <f t="shared" si="336"/>
        <v>7.1695800000001348</v>
      </c>
    </row>
    <row r="145" spans="1:16" x14ac:dyDescent="0.5">
      <c r="A145" t="s">
        <v>6</v>
      </c>
      <c r="B145" t="str">
        <f t="shared" si="315"/>
        <v>RNG55xERR55xARM70xTDP50</v>
      </c>
      <c r="C145">
        <v>55</v>
      </c>
      <c r="D145">
        <v>55</v>
      </c>
      <c r="E145">
        <v>70</v>
      </c>
      <c r="F145">
        <v>50</v>
      </c>
      <c r="G145">
        <v>100000</v>
      </c>
      <c r="H145" s="3">
        <v>50789</v>
      </c>
      <c r="I145" s="3">
        <f t="shared" si="326"/>
        <v>49211</v>
      </c>
      <c r="J145" s="3">
        <v>432893</v>
      </c>
      <c r="K145" s="3">
        <v>425774</v>
      </c>
      <c r="L145" s="9">
        <f t="shared" si="332"/>
        <v>0.50788999999999995</v>
      </c>
      <c r="M145" s="5">
        <f t="shared" si="333"/>
        <v>4.3289299999999997</v>
      </c>
      <c r="N145" s="5">
        <f t="shared" si="334"/>
        <v>4.2577400000000001</v>
      </c>
      <c r="O145" s="5">
        <f t="shared" si="335"/>
        <v>1.0394999999999934</v>
      </c>
      <c r="P145" s="4">
        <f t="shared" si="336"/>
        <v>13.317480000000051</v>
      </c>
    </row>
    <row r="146" spans="1:16" x14ac:dyDescent="0.5">
      <c r="A146" t="s">
        <v>6</v>
      </c>
      <c r="B146" t="str">
        <f t="shared" si="315"/>
        <v>RNG55xERR55xARM75xTDP50</v>
      </c>
      <c r="C146">
        <v>55</v>
      </c>
      <c r="D146">
        <v>55</v>
      </c>
      <c r="E146">
        <v>75</v>
      </c>
      <c r="F146">
        <v>50</v>
      </c>
      <c r="G146">
        <v>100000</v>
      </c>
      <c r="H146" s="3">
        <v>50711</v>
      </c>
      <c r="I146" s="3">
        <f t="shared" si="326"/>
        <v>49289</v>
      </c>
      <c r="J146" s="3">
        <v>433644</v>
      </c>
      <c r="K146" s="3">
        <v>425148</v>
      </c>
      <c r="L146" s="9">
        <f t="shared" si="332"/>
        <v>0.50710999999999995</v>
      </c>
      <c r="M146" s="5">
        <f t="shared" si="333"/>
        <v>4.3364399999999996</v>
      </c>
      <c r="N146" s="5">
        <f t="shared" si="334"/>
        <v>4.2514799999999999</v>
      </c>
      <c r="O146" s="5">
        <f t="shared" si="335"/>
        <v>0.91313999999999296</v>
      </c>
      <c r="P146" s="4">
        <f t="shared" si="336"/>
        <v>14.331600000000076</v>
      </c>
    </row>
    <row r="147" spans="1:16" x14ac:dyDescent="0.5">
      <c r="A147" t="s">
        <v>6</v>
      </c>
      <c r="B147" t="str">
        <f t="shared" si="315"/>
        <v>RNG55xERR55xARM55xTDP75</v>
      </c>
      <c r="C147">
        <v>55</v>
      </c>
      <c r="D147">
        <v>55</v>
      </c>
      <c r="E147">
        <v>55</v>
      </c>
      <c r="F147">
        <v>75</v>
      </c>
      <c r="G147">
        <v>100000</v>
      </c>
      <c r="H147" s="3">
        <v>50026</v>
      </c>
      <c r="I147" s="3">
        <f t="shared" si="326"/>
        <v>49974</v>
      </c>
      <c r="J147" s="3">
        <v>434271</v>
      </c>
      <c r="K147" s="3">
        <v>433883</v>
      </c>
      <c r="L147" s="9">
        <f t="shared" si="332"/>
        <v>0.50026000000000004</v>
      </c>
      <c r="M147" s="5">
        <f t="shared" si="333"/>
        <v>4.3427100000000003</v>
      </c>
      <c r="N147" s="5">
        <f t="shared" si="334"/>
        <v>4.3388299999999997</v>
      </c>
      <c r="O147" s="5">
        <f t="shared" si="335"/>
        <v>-0.19655999999999274</v>
      </c>
      <c r="P147" s="4">
        <f t="shared" si="336"/>
        <v>0.18090000000010598</v>
      </c>
    </row>
    <row r="148" spans="1:16" x14ac:dyDescent="0.5">
      <c r="A148" t="s">
        <v>6</v>
      </c>
      <c r="B148" t="str">
        <f t="shared" si="315"/>
        <v>RNG70xERR70xARM55xTDP50</v>
      </c>
      <c r="C148">
        <v>70</v>
      </c>
      <c r="D148">
        <v>70</v>
      </c>
      <c r="E148">
        <v>55</v>
      </c>
      <c r="F148">
        <v>50</v>
      </c>
      <c r="G148">
        <v>100000</v>
      </c>
      <c r="H148" s="3">
        <v>50871</v>
      </c>
      <c r="I148" s="3">
        <f t="shared" si="326"/>
        <v>49129</v>
      </c>
      <c r="J148" s="3">
        <v>433194</v>
      </c>
      <c r="K148" s="3">
        <v>424139</v>
      </c>
      <c r="L148" s="9">
        <f t="shared" ref="L148:L150" si="342">H148/G148</f>
        <v>0.50871</v>
      </c>
      <c r="M148" s="5">
        <f t="shared" ref="M148:M150" si="343">J148/G148</f>
        <v>4.3319400000000003</v>
      </c>
      <c r="N148" s="5">
        <f t="shared" ref="N148:N150" si="344">K148/G148</f>
        <v>4.24139</v>
      </c>
      <c r="O148" s="5">
        <f t="shared" ref="O148:O150" si="345">(L148-$L$7)*162</f>
        <v>1.1723400000000004</v>
      </c>
      <c r="P148" s="4">
        <f t="shared" ref="P148:P150" si="346">-(N148-$N$7)*162</f>
        <v>15.966180000000065</v>
      </c>
    </row>
    <row r="149" spans="1:16" x14ac:dyDescent="0.5">
      <c r="A149" t="s">
        <v>6</v>
      </c>
      <c r="B149" t="str">
        <f t="shared" si="315"/>
        <v>RNG70xERR55xARM70xTDP50</v>
      </c>
      <c r="C149">
        <v>70</v>
      </c>
      <c r="D149">
        <v>55</v>
      </c>
      <c r="E149">
        <v>70</v>
      </c>
      <c r="F149">
        <v>50</v>
      </c>
      <c r="G149">
        <v>100000</v>
      </c>
      <c r="H149" s="3">
        <v>50829</v>
      </c>
      <c r="I149" s="3">
        <f t="shared" si="326"/>
        <v>49171</v>
      </c>
      <c r="J149" s="3">
        <v>434495</v>
      </c>
      <c r="K149" s="3">
        <v>425892</v>
      </c>
      <c r="L149" s="9">
        <f t="shared" si="342"/>
        <v>0.50829000000000002</v>
      </c>
      <c r="M149" s="5">
        <f t="shared" si="343"/>
        <v>4.3449499999999999</v>
      </c>
      <c r="N149" s="5">
        <f t="shared" si="344"/>
        <v>4.2589199999999998</v>
      </c>
      <c r="O149" s="5">
        <f t="shared" si="345"/>
        <v>1.1043000000000043</v>
      </c>
      <c r="P149" s="4">
        <f t="shared" si="346"/>
        <v>13.126320000000094</v>
      </c>
    </row>
    <row r="150" spans="1:16" x14ac:dyDescent="0.5">
      <c r="A150" t="s">
        <v>6</v>
      </c>
      <c r="B150" t="str">
        <f t="shared" si="315"/>
        <v>RNG55xERR70xARM70xTDP50</v>
      </c>
      <c r="C150">
        <v>55</v>
      </c>
      <c r="D150">
        <v>70</v>
      </c>
      <c r="E150">
        <v>70</v>
      </c>
      <c r="F150">
        <v>50</v>
      </c>
      <c r="G150">
        <v>100000</v>
      </c>
      <c r="H150" s="3">
        <v>51063</v>
      </c>
      <c r="I150" s="3">
        <f t="shared" si="326"/>
        <v>48937</v>
      </c>
      <c r="J150" s="3">
        <v>434675</v>
      </c>
      <c r="K150" s="3">
        <v>424321</v>
      </c>
      <c r="L150" s="9">
        <f t="shared" si="342"/>
        <v>0.51063000000000003</v>
      </c>
      <c r="M150" s="5">
        <f t="shared" si="343"/>
        <v>4.3467500000000001</v>
      </c>
      <c r="N150" s="5">
        <f t="shared" si="344"/>
        <v>4.2432100000000004</v>
      </c>
      <c r="O150" s="5">
        <f t="shared" si="345"/>
        <v>1.4833800000000057</v>
      </c>
      <c r="P150" s="4">
        <f t="shared" si="346"/>
        <v>15.671340000000004</v>
      </c>
    </row>
    <row r="151" spans="1:16" x14ac:dyDescent="0.5">
      <c r="A151" t="s">
        <v>6</v>
      </c>
      <c r="B151" t="str">
        <f t="shared" si="315"/>
        <v>RNG60xERR65xARM70xTDP50</v>
      </c>
      <c r="C151">
        <v>60</v>
      </c>
      <c r="D151">
        <v>65</v>
      </c>
      <c r="E151">
        <v>70</v>
      </c>
      <c r="F151">
        <v>50</v>
      </c>
      <c r="G151">
        <v>100000</v>
      </c>
      <c r="H151" s="3">
        <v>50911</v>
      </c>
      <c r="I151" s="3">
        <f t="shared" si="326"/>
        <v>49089</v>
      </c>
      <c r="J151" s="3">
        <v>433869</v>
      </c>
      <c r="K151" s="3">
        <v>423964</v>
      </c>
      <c r="L151" s="9">
        <f t="shared" ref="L151" si="347">H151/G151</f>
        <v>0.50910999999999995</v>
      </c>
      <c r="M151" s="5">
        <f t="shared" ref="M151" si="348">J151/G151</f>
        <v>4.3386899999999997</v>
      </c>
      <c r="N151" s="5">
        <f t="shared" ref="N151" si="349">K151/G151</f>
        <v>4.2396399999999996</v>
      </c>
      <c r="O151" s="5">
        <f t="shared" ref="O151" si="350">(L151-$L$7)*162</f>
        <v>1.2371399999999932</v>
      </c>
      <c r="P151" s="4">
        <f t="shared" ref="P151" si="351">-(N151-$N$7)*162</f>
        <v>16.249680000000126</v>
      </c>
    </row>
    <row r="152" spans="1:16" x14ac:dyDescent="0.5">
      <c r="A152" t="s">
        <v>6</v>
      </c>
      <c r="B152" t="str">
        <f t="shared" si="315"/>
        <v>RNG60xERR55xARM70xTDP50</v>
      </c>
      <c r="C152">
        <v>60</v>
      </c>
      <c r="D152">
        <v>55</v>
      </c>
      <c r="E152">
        <v>70</v>
      </c>
      <c r="F152">
        <v>50</v>
      </c>
      <c r="G152">
        <v>100000</v>
      </c>
      <c r="H152" s="3">
        <v>50904</v>
      </c>
      <c r="I152" s="3">
        <f t="shared" si="326"/>
        <v>49096</v>
      </c>
      <c r="J152" s="3">
        <v>435636</v>
      </c>
      <c r="K152" s="3">
        <v>426461</v>
      </c>
      <c r="L152" s="9">
        <f t="shared" ref="L152" si="352">H152/G152</f>
        <v>0.50904000000000005</v>
      </c>
      <c r="M152" s="5">
        <f t="shared" ref="M152" si="353">J152/G152</f>
        <v>4.3563599999999996</v>
      </c>
      <c r="N152" s="5">
        <f t="shared" ref="N152" si="354">K152/G152</f>
        <v>4.2646100000000002</v>
      </c>
      <c r="O152" s="5">
        <f t="shared" ref="O152" si="355">(L152-$L$7)*162</f>
        <v>1.2258000000000089</v>
      </c>
      <c r="P152" s="4">
        <f t="shared" ref="P152" si="356">-(N152-$N$7)*162</f>
        <v>12.204540000000026</v>
      </c>
    </row>
    <row r="153" spans="1:16" x14ac:dyDescent="0.5">
      <c r="A153" t="s">
        <v>6</v>
      </c>
      <c r="B153" t="str">
        <f t="shared" si="315"/>
        <v>RNG60xERR65xARM55xTDP50</v>
      </c>
      <c r="C153">
        <v>60</v>
      </c>
      <c r="D153">
        <v>65</v>
      </c>
      <c r="E153">
        <v>55</v>
      </c>
      <c r="F153">
        <v>50</v>
      </c>
      <c r="G153">
        <v>100000</v>
      </c>
      <c r="H153" s="3">
        <v>50595</v>
      </c>
      <c r="I153" s="3">
        <f t="shared" si="326"/>
        <v>49405</v>
      </c>
      <c r="J153" s="3">
        <v>433601</v>
      </c>
      <c r="K153" s="3">
        <v>429364</v>
      </c>
      <c r="L153" s="9">
        <f t="shared" ref="L153" si="357">H153/G153</f>
        <v>0.50595000000000001</v>
      </c>
      <c r="M153" s="5">
        <f t="shared" ref="M153" si="358">J153/G153</f>
        <v>4.3360099999999999</v>
      </c>
      <c r="N153" s="5">
        <f t="shared" ref="N153" si="359">K153/G153</f>
        <v>4.2936399999999999</v>
      </c>
      <c r="O153" s="5">
        <f t="shared" ref="O153" si="360">(L153-$L$7)*162</f>
        <v>0.72522000000000286</v>
      </c>
      <c r="P153" s="4">
        <f t="shared" ref="P153" si="361">-(N153-$N$7)*162</f>
        <v>7.5016800000000803</v>
      </c>
    </row>
    <row r="154" spans="1:16" x14ac:dyDescent="0.5">
      <c r="A154" t="s">
        <v>6</v>
      </c>
      <c r="B154" t="str">
        <f>_xlfn.CONCAT("RNG",C154,"xERR",D154,"xARM",E154,"xTDP",F154)</f>
        <v>RNG55xERR65xARM70xTDP50</v>
      </c>
      <c r="C154">
        <v>55</v>
      </c>
      <c r="D154">
        <v>65</v>
      </c>
      <c r="E154">
        <v>70</v>
      </c>
      <c r="F154">
        <v>50</v>
      </c>
      <c r="G154">
        <v>100000</v>
      </c>
      <c r="H154" s="3">
        <v>51063</v>
      </c>
      <c r="I154" s="3">
        <f t="shared" si="326"/>
        <v>48937</v>
      </c>
      <c r="J154" s="3">
        <v>434635</v>
      </c>
      <c r="K154" s="3">
        <v>423709</v>
      </c>
      <c r="L154" s="9">
        <f t="shared" ref="L154:L168" si="362">H154/G154</f>
        <v>0.51063000000000003</v>
      </c>
      <c r="M154" s="5">
        <f t="shared" ref="M154" si="363">J154/G154</f>
        <v>4.3463500000000002</v>
      </c>
      <c r="N154" s="5">
        <f t="shared" ref="N154" si="364">K154/G154</f>
        <v>4.2370900000000002</v>
      </c>
      <c r="O154" s="5">
        <f t="shared" ref="O154" si="365">(L154-$L$7)*162</f>
        <v>1.4833800000000057</v>
      </c>
      <c r="P154" s="4">
        <f t="shared" ref="P154" si="366">-(N154-$N$7)*162</f>
        <v>16.662780000000026</v>
      </c>
    </row>
    <row r="155" spans="1:16" x14ac:dyDescent="0.5">
      <c r="A155" t="s">
        <v>6</v>
      </c>
      <c r="B155" t="str">
        <f>_xlfn.CONCAT("RNG",C155,"xERR",D155,"xARM",E155,"xTDP",F155)</f>
        <v>RNG60xERR55xARM60xTDP50</v>
      </c>
      <c r="C155">
        <v>60</v>
      </c>
      <c r="D155">
        <v>55</v>
      </c>
      <c r="E155">
        <v>60</v>
      </c>
      <c r="F155">
        <v>50</v>
      </c>
      <c r="G155">
        <v>100000</v>
      </c>
      <c r="H155" s="3">
        <v>51105</v>
      </c>
      <c r="I155" s="3">
        <f t="shared" ref="I155" si="367">G155-H155</f>
        <v>48895</v>
      </c>
      <c r="J155" s="3">
        <v>435662</v>
      </c>
      <c r="K155" s="3">
        <v>425966</v>
      </c>
      <c r="L155" s="9">
        <f t="shared" ref="L155" si="368">H155/G155</f>
        <v>0.51105</v>
      </c>
      <c r="M155" s="5">
        <f t="shared" ref="M155" si="369">J155/G155</f>
        <v>4.3566200000000004</v>
      </c>
      <c r="N155" s="5">
        <f t="shared" ref="N155" si="370">K155/G155</f>
        <v>4.2596600000000002</v>
      </c>
      <c r="O155" s="5">
        <f t="shared" ref="O155" si="371">(L155-$L$7)*162</f>
        <v>1.5514200000000018</v>
      </c>
      <c r="P155" s="4">
        <f t="shared" ref="P155" si="372">-(N155-$N$7)*162</f>
        <v>13.006440000000028</v>
      </c>
    </row>
    <row r="156" spans="1:16" x14ac:dyDescent="0.5">
      <c r="A156" s="18" t="s">
        <v>174</v>
      </c>
      <c r="B156" s="18" t="s">
        <v>165</v>
      </c>
      <c r="C156" s="18">
        <v>60</v>
      </c>
      <c r="D156" s="18">
        <v>60</v>
      </c>
      <c r="E156" s="18">
        <v>55</v>
      </c>
      <c r="F156" s="18" t="s">
        <v>175</v>
      </c>
      <c r="G156" s="18">
        <v>100000</v>
      </c>
      <c r="H156" s="19">
        <v>50147.333333333336</v>
      </c>
      <c r="I156" s="19">
        <v>49852.666666666664</v>
      </c>
      <c r="J156" s="19">
        <v>434431.33333333331</v>
      </c>
      <c r="K156" s="19">
        <v>433994.66666666669</v>
      </c>
      <c r="L156" s="20">
        <v>0.50147333333333333</v>
      </c>
      <c r="M156" s="21">
        <v>4.344313333333333</v>
      </c>
      <c r="N156" s="21">
        <v>4.3399466666666671</v>
      </c>
      <c r="O156" s="21" t="s">
        <v>50</v>
      </c>
      <c r="P156" s="22" t="s">
        <v>50</v>
      </c>
    </row>
    <row r="157" spans="1:16" x14ac:dyDescent="0.5">
      <c r="A157" t="s">
        <v>174</v>
      </c>
      <c r="B157" t="str">
        <f t="shared" ref="B157:B172" si="373">_xlfn.CONCAT("RNG",C157,"xERR",D157,"xARM",E157)</f>
        <v>RNG40xERR60xARM55</v>
      </c>
      <c r="C157">
        <v>40</v>
      </c>
      <c r="D157">
        <v>60</v>
      </c>
      <c r="E157">
        <v>55</v>
      </c>
      <c r="F157" t="s">
        <v>175</v>
      </c>
      <c r="G157">
        <v>100000</v>
      </c>
      <c r="H157" s="3">
        <v>49240</v>
      </c>
      <c r="I157" s="3">
        <f t="shared" si="326"/>
        <v>50760</v>
      </c>
      <c r="J157" s="3">
        <v>436311</v>
      </c>
      <c r="K157" s="3">
        <v>442782</v>
      </c>
      <c r="L157" s="9">
        <f t="shared" si="362"/>
        <v>0.4924</v>
      </c>
      <c r="M157" s="5">
        <f t="shared" ref="M157:M168" si="374">J157/G157</f>
        <v>4.3631099999999998</v>
      </c>
      <c r="N157" s="5">
        <f t="shared" ref="N157:N168" si="375">K157/G157</f>
        <v>4.4278199999999996</v>
      </c>
      <c r="O157" s="5">
        <f t="shared" ref="O157:O168" si="376">(L157-$L$7)*162</f>
        <v>-1.4698799999999981</v>
      </c>
      <c r="P157" s="4">
        <f t="shared" ref="P157:P168" si="377">-(N157-$N$7)*162</f>
        <v>-14.235479999999878</v>
      </c>
    </row>
    <row r="158" spans="1:16" x14ac:dyDescent="0.5">
      <c r="A158" t="s">
        <v>174</v>
      </c>
      <c r="B158" t="str">
        <f t="shared" si="373"/>
        <v>RNG50xERR60xARM55</v>
      </c>
      <c r="C158">
        <v>50</v>
      </c>
      <c r="D158">
        <v>60</v>
      </c>
      <c r="E158">
        <v>55</v>
      </c>
      <c r="F158" t="s">
        <v>175</v>
      </c>
      <c r="G158">
        <v>100000</v>
      </c>
      <c r="H158" s="3">
        <v>49164</v>
      </c>
      <c r="I158" s="3">
        <f t="shared" si="326"/>
        <v>50836</v>
      </c>
      <c r="J158" s="3">
        <v>434298</v>
      </c>
      <c r="K158" s="3">
        <v>441701</v>
      </c>
      <c r="L158" s="9">
        <f t="shared" si="362"/>
        <v>0.49164000000000002</v>
      </c>
      <c r="M158" s="5">
        <f t="shared" si="374"/>
        <v>4.3429799999999998</v>
      </c>
      <c r="N158" s="5">
        <f t="shared" si="375"/>
        <v>4.4170100000000003</v>
      </c>
      <c r="O158" s="5">
        <f t="shared" si="376"/>
        <v>-1.5929999999999955</v>
      </c>
      <c r="P158" s="4">
        <f t="shared" si="377"/>
        <v>-12.484259999999988</v>
      </c>
    </row>
    <row r="159" spans="1:16" x14ac:dyDescent="0.5">
      <c r="A159" t="s">
        <v>174</v>
      </c>
      <c r="B159" t="str">
        <f t="shared" si="373"/>
        <v>RNG70xERR60xARM55</v>
      </c>
      <c r="C159">
        <v>70</v>
      </c>
      <c r="D159">
        <v>60</v>
      </c>
      <c r="E159">
        <v>55</v>
      </c>
      <c r="F159" t="s">
        <v>175</v>
      </c>
      <c r="G159">
        <v>100000</v>
      </c>
      <c r="H159" s="3">
        <v>51998</v>
      </c>
      <c r="I159" s="3">
        <f t="shared" si="326"/>
        <v>48002</v>
      </c>
      <c r="J159" s="3">
        <v>434059</v>
      </c>
      <c r="K159" s="3">
        <v>414492</v>
      </c>
      <c r="L159" s="9">
        <f t="shared" si="362"/>
        <v>0.51998</v>
      </c>
      <c r="M159" s="5">
        <f t="shared" si="374"/>
        <v>4.3405899999999997</v>
      </c>
      <c r="N159" s="5">
        <f t="shared" si="375"/>
        <v>4.1449199999999999</v>
      </c>
      <c r="O159" s="5">
        <f t="shared" si="376"/>
        <v>2.9980800000000007</v>
      </c>
      <c r="P159" s="4">
        <f t="shared" si="377"/>
        <v>31.594320000000074</v>
      </c>
    </row>
    <row r="160" spans="1:16" x14ac:dyDescent="0.5">
      <c r="A160" t="s">
        <v>174</v>
      </c>
      <c r="B160" t="str">
        <f t="shared" si="373"/>
        <v>RNG75xERR60xARM55</v>
      </c>
      <c r="C160">
        <v>75</v>
      </c>
      <c r="D160">
        <v>60</v>
      </c>
      <c r="E160">
        <v>55</v>
      </c>
      <c r="F160" t="s">
        <v>175</v>
      </c>
      <c r="G160">
        <v>100000</v>
      </c>
      <c r="H160" s="3">
        <v>51946</v>
      </c>
      <c r="I160" s="3">
        <f t="shared" si="326"/>
        <v>48054</v>
      </c>
      <c r="J160" s="3">
        <v>434488</v>
      </c>
      <c r="K160" s="3">
        <v>414520</v>
      </c>
      <c r="L160" s="9">
        <f t="shared" si="362"/>
        <v>0.51946000000000003</v>
      </c>
      <c r="M160" s="5">
        <f t="shared" si="374"/>
        <v>4.3448799999999999</v>
      </c>
      <c r="N160" s="5">
        <f t="shared" si="375"/>
        <v>4.1452</v>
      </c>
      <c r="O160" s="5">
        <f t="shared" si="376"/>
        <v>2.9138400000000066</v>
      </c>
      <c r="P160" s="4">
        <f t="shared" si="377"/>
        <v>31.548960000000065</v>
      </c>
    </row>
    <row r="161" spans="1:16" x14ac:dyDescent="0.5">
      <c r="A161" t="s">
        <v>174</v>
      </c>
      <c r="B161" t="str">
        <f t="shared" si="373"/>
        <v>RNG60xERR40xARM55</v>
      </c>
      <c r="C161">
        <v>60</v>
      </c>
      <c r="D161">
        <v>40</v>
      </c>
      <c r="E161">
        <v>55</v>
      </c>
      <c r="F161" t="s">
        <v>175</v>
      </c>
      <c r="G161">
        <v>100000</v>
      </c>
      <c r="H161" s="3">
        <v>49934</v>
      </c>
      <c r="I161" s="3">
        <f t="shared" si="326"/>
        <v>50066</v>
      </c>
      <c r="J161" s="3">
        <v>434665</v>
      </c>
      <c r="K161" s="3">
        <v>436368</v>
      </c>
      <c r="L161" s="9">
        <f t="shared" si="362"/>
        <v>0.49934000000000001</v>
      </c>
      <c r="M161" s="5">
        <f t="shared" si="374"/>
        <v>4.3466500000000003</v>
      </c>
      <c r="N161" s="5">
        <f t="shared" si="375"/>
        <v>4.3636799999999996</v>
      </c>
      <c r="O161" s="5">
        <f t="shared" si="376"/>
        <v>-0.34559999999999791</v>
      </c>
      <c r="P161" s="4">
        <f t="shared" si="377"/>
        <v>-3.8447999999998643</v>
      </c>
    </row>
    <row r="162" spans="1:16" x14ac:dyDescent="0.5">
      <c r="A162" t="s">
        <v>174</v>
      </c>
      <c r="B162" t="str">
        <f t="shared" si="373"/>
        <v>RNG60xERR50xARM55</v>
      </c>
      <c r="C162">
        <v>60</v>
      </c>
      <c r="D162">
        <v>50</v>
      </c>
      <c r="E162">
        <v>55</v>
      </c>
      <c r="F162" t="s">
        <v>175</v>
      </c>
      <c r="G162">
        <v>100000</v>
      </c>
      <c r="H162" s="3">
        <v>50079</v>
      </c>
      <c r="I162" s="3">
        <f t="shared" si="326"/>
        <v>49921</v>
      </c>
      <c r="J162" s="3">
        <v>433588</v>
      </c>
      <c r="K162" s="3">
        <v>433833</v>
      </c>
      <c r="L162" s="9">
        <f t="shared" si="362"/>
        <v>0.50078999999999996</v>
      </c>
      <c r="M162" s="5">
        <f t="shared" si="374"/>
        <v>4.3358800000000004</v>
      </c>
      <c r="N162" s="5">
        <f t="shared" si="375"/>
        <v>4.33833</v>
      </c>
      <c r="O162" s="5">
        <f t="shared" si="376"/>
        <v>-0.11070000000000579</v>
      </c>
      <c r="P162" s="4">
        <f t="shared" si="377"/>
        <v>0.26190000000006108</v>
      </c>
    </row>
    <row r="163" spans="1:16" x14ac:dyDescent="0.5">
      <c r="A163" t="s">
        <v>174</v>
      </c>
      <c r="B163" t="str">
        <f t="shared" si="373"/>
        <v>RNG60xERR70xARM55</v>
      </c>
      <c r="C163">
        <v>60</v>
      </c>
      <c r="D163">
        <v>70</v>
      </c>
      <c r="E163">
        <v>55</v>
      </c>
      <c r="F163" t="s">
        <v>175</v>
      </c>
      <c r="G163">
        <v>100000</v>
      </c>
      <c r="H163" s="3">
        <v>50054</v>
      </c>
      <c r="I163" s="3">
        <f t="shared" si="326"/>
        <v>49946</v>
      </c>
      <c r="J163" s="3">
        <v>434073</v>
      </c>
      <c r="K163" s="3">
        <v>433812</v>
      </c>
      <c r="L163" s="9">
        <f t="shared" si="362"/>
        <v>0.50053999999999998</v>
      </c>
      <c r="M163" s="5">
        <f t="shared" si="374"/>
        <v>4.3407299999999998</v>
      </c>
      <c r="N163" s="5">
        <f t="shared" si="375"/>
        <v>4.33812</v>
      </c>
      <c r="O163" s="5">
        <f t="shared" si="376"/>
        <v>-0.15120000000000133</v>
      </c>
      <c r="P163" s="4">
        <f t="shared" si="377"/>
        <v>0.29592000000006813</v>
      </c>
    </row>
    <row r="164" spans="1:16" x14ac:dyDescent="0.5">
      <c r="A164" t="s">
        <v>174</v>
      </c>
      <c r="B164" t="str">
        <f t="shared" si="373"/>
        <v>RNG60xERR75xARM55</v>
      </c>
      <c r="C164">
        <v>60</v>
      </c>
      <c r="D164">
        <v>75</v>
      </c>
      <c r="E164">
        <v>55</v>
      </c>
      <c r="F164" t="s">
        <v>175</v>
      </c>
      <c r="G164">
        <v>100000</v>
      </c>
      <c r="H164" s="3">
        <v>49858</v>
      </c>
      <c r="I164" s="3">
        <f t="shared" si="326"/>
        <v>50142</v>
      </c>
      <c r="J164" s="3">
        <v>433851</v>
      </c>
      <c r="K164" s="3">
        <v>434401</v>
      </c>
      <c r="L164" s="9">
        <f t="shared" si="362"/>
        <v>0.49858000000000002</v>
      </c>
      <c r="M164" s="5">
        <f t="shared" si="374"/>
        <v>4.3385100000000003</v>
      </c>
      <c r="N164" s="5">
        <f t="shared" si="375"/>
        <v>4.3440099999999999</v>
      </c>
      <c r="O164" s="5">
        <f t="shared" si="376"/>
        <v>-0.46871999999999514</v>
      </c>
      <c r="P164" s="4">
        <f t="shared" si="377"/>
        <v>-0.65825999999992391</v>
      </c>
    </row>
    <row r="165" spans="1:16" x14ac:dyDescent="0.5">
      <c r="A165" t="s">
        <v>174</v>
      </c>
      <c r="B165" t="str">
        <f t="shared" si="373"/>
        <v>RNG60xERR60xARM40</v>
      </c>
      <c r="C165">
        <v>60</v>
      </c>
      <c r="D165">
        <v>60</v>
      </c>
      <c r="E165">
        <v>40</v>
      </c>
      <c r="F165" t="s">
        <v>175</v>
      </c>
      <c r="G165">
        <v>100000</v>
      </c>
      <c r="H165" s="3">
        <v>49466</v>
      </c>
      <c r="I165" s="3">
        <f t="shared" si="326"/>
        <v>50534</v>
      </c>
      <c r="J165" s="3">
        <v>434354</v>
      </c>
      <c r="K165" s="3">
        <v>439010</v>
      </c>
      <c r="L165" s="9">
        <f t="shared" si="362"/>
        <v>0.49465999999999999</v>
      </c>
      <c r="M165" s="5">
        <f t="shared" si="374"/>
        <v>4.34354</v>
      </c>
      <c r="N165" s="5">
        <f t="shared" si="375"/>
        <v>4.3901000000000003</v>
      </c>
      <c r="O165" s="5">
        <f t="shared" si="376"/>
        <v>-1.1037600000000007</v>
      </c>
      <c r="P165" s="4">
        <f t="shared" si="377"/>
        <v>-8.1248399999999901</v>
      </c>
    </row>
    <row r="166" spans="1:16" x14ac:dyDescent="0.5">
      <c r="A166" t="s">
        <v>174</v>
      </c>
      <c r="B166" t="str">
        <f t="shared" si="373"/>
        <v>RNG60xERR60xARM50</v>
      </c>
      <c r="C166">
        <v>60</v>
      </c>
      <c r="D166">
        <v>60</v>
      </c>
      <c r="E166">
        <v>50</v>
      </c>
      <c r="F166" t="s">
        <v>175</v>
      </c>
      <c r="G166">
        <v>100000</v>
      </c>
      <c r="H166" s="3">
        <v>49648</v>
      </c>
      <c r="I166" s="3">
        <f t="shared" si="326"/>
        <v>50352</v>
      </c>
      <c r="J166" s="3">
        <v>432906</v>
      </c>
      <c r="K166" s="3">
        <v>437551</v>
      </c>
      <c r="L166" s="9">
        <f t="shared" si="362"/>
        <v>0.49647999999999998</v>
      </c>
      <c r="M166" s="5">
        <f t="shared" si="374"/>
        <v>4.3290600000000001</v>
      </c>
      <c r="N166" s="5">
        <f t="shared" si="375"/>
        <v>4.3755100000000002</v>
      </c>
      <c r="O166" s="5">
        <f t="shared" si="376"/>
        <v>-0.80892000000000264</v>
      </c>
      <c r="P166" s="4">
        <f t="shared" si="377"/>
        <v>-5.7612599999999734</v>
      </c>
    </row>
    <row r="167" spans="1:16" x14ac:dyDescent="0.5">
      <c r="A167" t="s">
        <v>174</v>
      </c>
      <c r="B167" t="str">
        <f t="shared" si="373"/>
        <v>RNG60xERR60xARM70</v>
      </c>
      <c r="C167">
        <v>60</v>
      </c>
      <c r="D167">
        <v>60</v>
      </c>
      <c r="E167">
        <v>70</v>
      </c>
      <c r="F167" t="s">
        <v>175</v>
      </c>
      <c r="G167">
        <v>100000</v>
      </c>
      <c r="H167" s="3">
        <v>50116</v>
      </c>
      <c r="I167" s="3">
        <f t="shared" si="326"/>
        <v>49884</v>
      </c>
      <c r="J167" s="3">
        <v>432836</v>
      </c>
      <c r="K167" s="3">
        <v>430887</v>
      </c>
      <c r="L167" s="9">
        <f t="shared" si="362"/>
        <v>0.50116000000000005</v>
      </c>
      <c r="M167" s="5">
        <f t="shared" si="374"/>
        <v>4.32836</v>
      </c>
      <c r="N167" s="5">
        <f t="shared" si="375"/>
        <v>4.3088699999999998</v>
      </c>
      <c r="O167" s="5">
        <f t="shared" si="376"/>
        <v>-5.0759999999990812E-2</v>
      </c>
      <c r="P167" s="4">
        <f t="shared" si="377"/>
        <v>5.0344200000001038</v>
      </c>
    </row>
    <row r="168" spans="1:16" x14ac:dyDescent="0.5">
      <c r="A168" t="s">
        <v>174</v>
      </c>
      <c r="B168" t="str">
        <f t="shared" si="373"/>
        <v>RNG60xERR60xARM75</v>
      </c>
      <c r="C168">
        <v>60</v>
      </c>
      <c r="D168">
        <v>60</v>
      </c>
      <c r="E168">
        <v>75</v>
      </c>
      <c r="F168" t="s">
        <v>175</v>
      </c>
      <c r="G168">
        <v>100000</v>
      </c>
      <c r="H168" s="3">
        <v>50526</v>
      </c>
      <c r="I168" s="3">
        <f t="shared" si="326"/>
        <v>49474</v>
      </c>
      <c r="J168" s="3">
        <v>435065</v>
      </c>
      <c r="K168" s="3">
        <v>431023</v>
      </c>
      <c r="L168" s="9">
        <f t="shared" si="362"/>
        <v>0.50526000000000004</v>
      </c>
      <c r="M168" s="5">
        <f t="shared" si="374"/>
        <v>4.3506499999999999</v>
      </c>
      <c r="N168" s="5">
        <f t="shared" si="375"/>
        <v>4.3102299999999998</v>
      </c>
      <c r="O168" s="5">
        <f t="shared" si="376"/>
        <v>0.61344000000000798</v>
      </c>
      <c r="P168" s="4">
        <f t="shared" si="377"/>
        <v>4.8141000000000993</v>
      </c>
    </row>
    <row r="169" spans="1:16" x14ac:dyDescent="0.5">
      <c r="A169" t="s">
        <v>174</v>
      </c>
      <c r="B169" t="str">
        <f t="shared" si="373"/>
        <v>RNG70xERR60xARM70</v>
      </c>
      <c r="C169">
        <v>70</v>
      </c>
      <c r="D169">
        <v>60</v>
      </c>
      <c r="E169">
        <v>70</v>
      </c>
      <c r="F169" t="s">
        <v>175</v>
      </c>
      <c r="G169">
        <v>100000</v>
      </c>
      <c r="H169" s="3">
        <v>52294</v>
      </c>
      <c r="I169" s="3">
        <f t="shared" si="326"/>
        <v>47706</v>
      </c>
      <c r="J169" s="3">
        <v>432406</v>
      </c>
      <c r="K169" s="3">
        <v>410820</v>
      </c>
      <c r="L169" s="9">
        <f t="shared" ref="L169" si="378">H169/G169</f>
        <v>0.52293999999999996</v>
      </c>
      <c r="M169" s="5">
        <f t="shared" ref="M169" si="379">J169/G169</f>
        <v>4.3240600000000002</v>
      </c>
      <c r="N169" s="5">
        <f t="shared" ref="N169" si="380">K169/G169</f>
        <v>4.1082000000000001</v>
      </c>
      <c r="O169" s="5">
        <f t="shared" ref="O169" si="381">(L169-$L$7)*162</f>
        <v>3.4775999999999945</v>
      </c>
      <c r="P169" s="4">
        <f t="shared" ref="P169" si="382">-(N169-$N$7)*162</f>
        <v>37.542960000000051</v>
      </c>
    </row>
    <row r="170" spans="1:16" x14ac:dyDescent="0.5">
      <c r="A170" t="s">
        <v>174</v>
      </c>
      <c r="B170" t="str">
        <f t="shared" si="373"/>
        <v>RNG40xERR60xARM40</v>
      </c>
      <c r="C170">
        <v>40</v>
      </c>
      <c r="D170">
        <v>60</v>
      </c>
      <c r="E170">
        <v>40</v>
      </c>
      <c r="F170" t="s">
        <v>175</v>
      </c>
      <c r="G170">
        <v>100000</v>
      </c>
      <c r="H170" s="3">
        <v>48798</v>
      </c>
      <c r="I170" s="3">
        <f t="shared" si="326"/>
        <v>51202</v>
      </c>
      <c r="J170" s="3">
        <v>435332</v>
      </c>
      <c r="K170" s="3">
        <v>446327</v>
      </c>
      <c r="L170" s="9">
        <f t="shared" ref="L170" si="383">H170/G170</f>
        <v>0.48798000000000002</v>
      </c>
      <c r="M170" s="5">
        <f t="shared" ref="M170" si="384">J170/G170</f>
        <v>4.3533200000000001</v>
      </c>
      <c r="N170" s="5">
        <f t="shared" ref="N170" si="385">K170/G170</f>
        <v>4.4632699999999996</v>
      </c>
      <c r="O170" s="5">
        <f t="shared" ref="O170" si="386">(L170-$L$7)*162</f>
        <v>-2.185919999999995</v>
      </c>
      <c r="P170" s="4">
        <f t="shared" ref="P170" si="387">-(N170-$N$7)*162</f>
        <v>-19.978379999999873</v>
      </c>
    </row>
    <row r="171" spans="1:16" x14ac:dyDescent="0.5">
      <c r="A171" t="s">
        <v>174</v>
      </c>
      <c r="B171" t="str">
        <f t="shared" si="373"/>
        <v>RNG40xERR60xARM70</v>
      </c>
      <c r="C171">
        <v>40</v>
      </c>
      <c r="D171">
        <v>60</v>
      </c>
      <c r="E171">
        <v>70</v>
      </c>
      <c r="F171" t="s">
        <v>175</v>
      </c>
      <c r="G171">
        <v>100000</v>
      </c>
      <c r="H171" s="3">
        <v>49431</v>
      </c>
      <c r="I171" s="3">
        <f t="shared" si="326"/>
        <v>50569</v>
      </c>
      <c r="J171" s="3">
        <v>433642</v>
      </c>
      <c r="K171" s="3">
        <v>439115</v>
      </c>
      <c r="L171" s="9">
        <f t="shared" ref="L171:L172" si="388">H171/G171</f>
        <v>0.49431000000000003</v>
      </c>
      <c r="M171" s="5">
        <f t="shared" ref="M171:M172" si="389">J171/G171</f>
        <v>4.3364200000000004</v>
      </c>
      <c r="N171" s="5">
        <f t="shared" ref="N171:N172" si="390">K171/G171</f>
        <v>4.3911499999999997</v>
      </c>
      <c r="O171" s="5">
        <f t="shared" ref="O171:O172" si="391">(L171-$L$7)*162</f>
        <v>-1.1604599999999945</v>
      </c>
      <c r="P171" s="4">
        <f t="shared" ref="P171:P172" si="392">-(N171-$N$7)*162</f>
        <v>-8.2949399999998814</v>
      </c>
    </row>
    <row r="172" spans="1:16" x14ac:dyDescent="0.5">
      <c r="A172" t="s">
        <v>174</v>
      </c>
      <c r="B172" t="str">
        <f t="shared" si="373"/>
        <v>RNG50xERR60xARM70</v>
      </c>
      <c r="C172">
        <v>50</v>
      </c>
      <c r="D172">
        <v>60</v>
      </c>
      <c r="E172">
        <v>70</v>
      </c>
      <c r="F172" t="s">
        <v>175</v>
      </c>
      <c r="G172">
        <v>100000</v>
      </c>
      <c r="H172" s="3">
        <v>49573</v>
      </c>
      <c r="I172" s="3">
        <f t="shared" si="326"/>
        <v>50427</v>
      </c>
      <c r="J172" s="3">
        <v>434356</v>
      </c>
      <c r="K172" s="3">
        <v>438610</v>
      </c>
      <c r="L172" s="9">
        <f t="shared" si="388"/>
        <v>0.49573</v>
      </c>
      <c r="M172" s="5">
        <f t="shared" si="389"/>
        <v>4.3435600000000001</v>
      </c>
      <c r="N172" s="5">
        <f t="shared" si="390"/>
        <v>4.3860999999999999</v>
      </c>
      <c r="O172" s="5">
        <f t="shared" si="391"/>
        <v>-0.93041999999999825</v>
      </c>
      <c r="P172" s="4">
        <f t="shared" si="392"/>
        <v>-7.4768399999999176</v>
      </c>
    </row>
    <row r="173" spans="1:16" x14ac:dyDescent="0.5">
      <c r="A173" s="18" t="s">
        <v>178</v>
      </c>
      <c r="B173" s="18" t="s">
        <v>165</v>
      </c>
      <c r="C173" s="18">
        <v>60</v>
      </c>
      <c r="D173" s="18">
        <v>60</v>
      </c>
      <c r="E173" s="18">
        <v>55</v>
      </c>
      <c r="F173" s="18" t="s">
        <v>175</v>
      </c>
      <c r="G173" s="18">
        <v>100000</v>
      </c>
      <c r="H173" s="19">
        <v>50147.333333333336</v>
      </c>
      <c r="I173" s="19">
        <v>49852.666666666664</v>
      </c>
      <c r="J173" s="19">
        <v>434431.33333333331</v>
      </c>
      <c r="K173" s="19">
        <v>433994.66666666669</v>
      </c>
      <c r="L173" s="20">
        <v>0.50147333333333333</v>
      </c>
      <c r="M173" s="21">
        <v>4.344313333333333</v>
      </c>
      <c r="N173" s="21">
        <v>4.3399466666666671</v>
      </c>
      <c r="O173" s="21" t="s">
        <v>50</v>
      </c>
      <c r="P173" s="22" t="s">
        <v>50</v>
      </c>
    </row>
    <row r="174" spans="1:16" x14ac:dyDescent="0.5">
      <c r="A174" t="s">
        <v>178</v>
      </c>
      <c r="B174" t="str">
        <f>_xlfn.CONCAT("RNG",C174,"xERR",D174,"xARM",E174)</f>
        <v>RNG40xERR40xARM40</v>
      </c>
      <c r="C174">
        <v>40</v>
      </c>
      <c r="D174">
        <v>40</v>
      </c>
      <c r="E174">
        <v>40</v>
      </c>
      <c r="F174" t="s">
        <v>175</v>
      </c>
      <c r="G174">
        <v>100000</v>
      </c>
      <c r="H174" s="3">
        <v>48935</v>
      </c>
      <c r="I174" s="3">
        <f t="shared" si="326"/>
        <v>51065</v>
      </c>
      <c r="J174" s="3">
        <v>435128</v>
      </c>
      <c r="K174" s="3">
        <v>445453</v>
      </c>
      <c r="L174" s="9">
        <f t="shared" ref="L174:L200" si="393">H174/G174</f>
        <v>0.48935000000000001</v>
      </c>
      <c r="M174" s="5">
        <f t="shared" ref="M174:M200" si="394">J174/G174</f>
        <v>4.35128</v>
      </c>
      <c r="N174" s="5">
        <f t="shared" ref="N174:N200" si="395">K174/G174</f>
        <v>4.4545300000000001</v>
      </c>
      <c r="O174" s="5">
        <f t="shared" ref="O174:O200" si="396">(L174-$L$7)*162</f>
        <v>-1.9639799999999976</v>
      </c>
      <c r="P174" s="4">
        <f t="shared" ref="P174:P200" si="397">-(N174-$N$7)*162</f>
        <v>-18.56249999999995</v>
      </c>
    </row>
    <row r="175" spans="1:16" x14ac:dyDescent="0.5">
      <c r="A175" t="s">
        <v>178</v>
      </c>
      <c r="B175" t="str">
        <f t="shared" ref="B175:B182" si="398">_xlfn.CONCAT("RNG",C175,"xERR",D175,"xARM",E175)</f>
        <v>RNG60xERR40xARM40</v>
      </c>
      <c r="C175">
        <v>60</v>
      </c>
      <c r="D175">
        <v>40</v>
      </c>
      <c r="E175">
        <v>40</v>
      </c>
      <c r="F175" t="s">
        <v>175</v>
      </c>
      <c r="G175">
        <v>100000</v>
      </c>
      <c r="H175" s="3">
        <v>49691</v>
      </c>
      <c r="I175" s="3">
        <f t="shared" si="326"/>
        <v>50309</v>
      </c>
      <c r="J175" s="3">
        <v>434691</v>
      </c>
      <c r="K175" s="3">
        <v>438308</v>
      </c>
      <c r="L175" s="9">
        <f t="shared" si="393"/>
        <v>0.49691000000000002</v>
      </c>
      <c r="M175" s="5">
        <f t="shared" si="394"/>
        <v>4.3469100000000003</v>
      </c>
      <c r="N175" s="5">
        <f t="shared" si="395"/>
        <v>4.3830799999999996</v>
      </c>
      <c r="O175" s="5">
        <f t="shared" si="396"/>
        <v>-0.73925999999999592</v>
      </c>
      <c r="P175" s="4">
        <f t="shared" si="397"/>
        <v>-6.9875999999998779</v>
      </c>
    </row>
    <row r="176" spans="1:16" x14ac:dyDescent="0.5">
      <c r="A176" t="s">
        <v>178</v>
      </c>
      <c r="B176" t="str">
        <f t="shared" si="398"/>
        <v>RNG80xERR40xARM40</v>
      </c>
      <c r="C176">
        <v>80</v>
      </c>
      <c r="D176">
        <v>40</v>
      </c>
      <c r="E176">
        <v>40</v>
      </c>
      <c r="F176" t="s">
        <v>175</v>
      </c>
      <c r="G176">
        <v>100000</v>
      </c>
      <c r="H176" s="3">
        <v>51617</v>
      </c>
      <c r="I176" s="3">
        <f t="shared" si="326"/>
        <v>48383</v>
      </c>
      <c r="J176" s="3">
        <v>434021</v>
      </c>
      <c r="K176" s="3">
        <v>419853</v>
      </c>
      <c r="L176" s="9">
        <f t="shared" si="393"/>
        <v>0.51617000000000002</v>
      </c>
      <c r="M176" s="5">
        <f t="shared" si="394"/>
        <v>4.3402099999999999</v>
      </c>
      <c r="N176" s="5">
        <f t="shared" si="395"/>
        <v>4.1985299999999999</v>
      </c>
      <c r="O176" s="5">
        <f t="shared" si="396"/>
        <v>2.3808600000000038</v>
      </c>
      <c r="P176" s="4">
        <f t="shared" si="397"/>
        <v>22.909500000000087</v>
      </c>
    </row>
    <row r="177" spans="1:16" x14ac:dyDescent="0.5">
      <c r="A177" t="s">
        <v>178</v>
      </c>
      <c r="B177" t="str">
        <f t="shared" si="398"/>
        <v>RNG40xERR60xARM40</v>
      </c>
      <c r="C177">
        <v>40</v>
      </c>
      <c r="D177">
        <v>60</v>
      </c>
      <c r="E177">
        <v>40</v>
      </c>
      <c r="F177" t="s">
        <v>175</v>
      </c>
      <c r="G177">
        <v>100000</v>
      </c>
      <c r="H177" s="3">
        <v>48798</v>
      </c>
      <c r="I177" s="3">
        <f t="shared" si="326"/>
        <v>51202</v>
      </c>
      <c r="J177" s="3">
        <v>435332</v>
      </c>
      <c r="K177" s="3">
        <v>446327</v>
      </c>
      <c r="L177" s="9">
        <f t="shared" si="393"/>
        <v>0.48798000000000002</v>
      </c>
      <c r="M177" s="5">
        <f t="shared" si="394"/>
        <v>4.3533200000000001</v>
      </c>
      <c r="N177" s="5">
        <f t="shared" si="395"/>
        <v>4.4632699999999996</v>
      </c>
      <c r="O177" s="5">
        <f t="shared" si="396"/>
        <v>-2.185919999999995</v>
      </c>
      <c r="P177" s="4">
        <f t="shared" si="397"/>
        <v>-19.978379999999873</v>
      </c>
    </row>
    <row r="178" spans="1:16" x14ac:dyDescent="0.5">
      <c r="A178" t="s">
        <v>178</v>
      </c>
      <c r="B178" t="str">
        <f t="shared" si="398"/>
        <v>RNG60xERR60xARM40</v>
      </c>
      <c r="C178">
        <v>60</v>
      </c>
      <c r="D178">
        <v>60</v>
      </c>
      <c r="E178">
        <v>40</v>
      </c>
      <c r="F178" t="s">
        <v>175</v>
      </c>
      <c r="G178">
        <v>100000</v>
      </c>
      <c r="H178" s="3">
        <v>49466</v>
      </c>
      <c r="I178" s="3">
        <f t="shared" si="326"/>
        <v>50534</v>
      </c>
      <c r="J178" s="3">
        <v>434354</v>
      </c>
      <c r="K178" s="3">
        <v>439010</v>
      </c>
      <c r="L178" s="9">
        <f t="shared" si="393"/>
        <v>0.49465999999999999</v>
      </c>
      <c r="M178" s="5">
        <f t="shared" si="394"/>
        <v>4.34354</v>
      </c>
      <c r="N178" s="5">
        <f t="shared" si="395"/>
        <v>4.3901000000000003</v>
      </c>
      <c r="O178" s="5">
        <f t="shared" si="396"/>
        <v>-1.1037600000000007</v>
      </c>
      <c r="P178" s="4">
        <f t="shared" si="397"/>
        <v>-8.1248399999999901</v>
      </c>
    </row>
    <row r="179" spans="1:16" x14ac:dyDescent="0.5">
      <c r="A179" t="s">
        <v>178</v>
      </c>
      <c r="B179" t="str">
        <f t="shared" si="398"/>
        <v>RNG80xERR60xARM40</v>
      </c>
      <c r="C179">
        <v>80</v>
      </c>
      <c r="D179">
        <v>60</v>
      </c>
      <c r="E179">
        <v>40</v>
      </c>
      <c r="F179" t="s">
        <v>175</v>
      </c>
      <c r="G179">
        <v>100000</v>
      </c>
      <c r="H179" s="3">
        <v>51830</v>
      </c>
      <c r="I179" s="3">
        <f t="shared" si="326"/>
        <v>48170</v>
      </c>
      <c r="J179" s="3">
        <v>434927</v>
      </c>
      <c r="K179" s="3">
        <v>418159</v>
      </c>
      <c r="L179" s="9">
        <f t="shared" si="393"/>
        <v>0.51829999999999998</v>
      </c>
      <c r="M179" s="5">
        <f t="shared" si="394"/>
        <v>4.3492699999999997</v>
      </c>
      <c r="N179" s="5">
        <f t="shared" si="395"/>
        <v>4.1815899999999999</v>
      </c>
      <c r="O179" s="5">
        <f t="shared" si="396"/>
        <v>2.7259199999999986</v>
      </c>
      <c r="P179" s="4">
        <f t="shared" si="397"/>
        <v>25.653780000000076</v>
      </c>
    </row>
    <row r="180" spans="1:16" x14ac:dyDescent="0.5">
      <c r="A180" t="s">
        <v>178</v>
      </c>
      <c r="B180" t="str">
        <f t="shared" si="398"/>
        <v>RNG40xERR80xARM40</v>
      </c>
      <c r="C180">
        <v>40</v>
      </c>
      <c r="D180">
        <v>80</v>
      </c>
      <c r="E180">
        <v>40</v>
      </c>
      <c r="F180" t="s">
        <v>175</v>
      </c>
      <c r="G180">
        <v>100000</v>
      </c>
      <c r="H180" s="3">
        <v>48860</v>
      </c>
      <c r="I180" s="3">
        <f t="shared" si="326"/>
        <v>51140</v>
      </c>
      <c r="J180" s="3">
        <v>433532</v>
      </c>
      <c r="K180" s="3">
        <v>445510</v>
      </c>
      <c r="L180" s="9">
        <f t="shared" si="393"/>
        <v>0.48859999999999998</v>
      </c>
      <c r="M180" s="5">
        <f t="shared" si="394"/>
        <v>4.3353200000000003</v>
      </c>
      <c r="N180" s="5">
        <f t="shared" si="395"/>
        <v>4.4550999999999998</v>
      </c>
      <c r="O180" s="5">
        <f t="shared" si="396"/>
        <v>-2.0854800000000022</v>
      </c>
      <c r="P180" s="4">
        <f t="shared" si="397"/>
        <v>-18.654839999999908</v>
      </c>
    </row>
    <row r="181" spans="1:16" x14ac:dyDescent="0.5">
      <c r="A181" t="s">
        <v>178</v>
      </c>
      <c r="B181" t="str">
        <f t="shared" si="398"/>
        <v>RNG60xERR80xARM40</v>
      </c>
      <c r="C181">
        <v>60</v>
      </c>
      <c r="D181">
        <v>80</v>
      </c>
      <c r="E181">
        <v>40</v>
      </c>
      <c r="F181" t="s">
        <v>175</v>
      </c>
      <c r="G181">
        <v>100000</v>
      </c>
      <c r="H181" s="3">
        <v>49129</v>
      </c>
      <c r="I181" s="3">
        <f t="shared" si="326"/>
        <v>50871</v>
      </c>
      <c r="J181" s="3">
        <v>432970</v>
      </c>
      <c r="K181" s="3">
        <v>438561</v>
      </c>
      <c r="L181" s="9">
        <f t="shared" si="393"/>
        <v>0.49129</v>
      </c>
      <c r="M181" s="5">
        <f t="shared" si="394"/>
        <v>4.3296999999999999</v>
      </c>
      <c r="N181" s="5">
        <f t="shared" si="395"/>
        <v>4.3856099999999998</v>
      </c>
      <c r="O181" s="5">
        <f t="shared" si="396"/>
        <v>-1.6496999999999982</v>
      </c>
      <c r="P181" s="4">
        <f t="shared" si="397"/>
        <v>-7.3974599999999011</v>
      </c>
    </row>
    <row r="182" spans="1:16" x14ac:dyDescent="0.5">
      <c r="A182" t="s">
        <v>178</v>
      </c>
      <c r="B182" t="str">
        <f t="shared" si="398"/>
        <v>RNG80xERR80xARM40</v>
      </c>
      <c r="C182">
        <v>80</v>
      </c>
      <c r="D182">
        <v>80</v>
      </c>
      <c r="E182">
        <v>40</v>
      </c>
      <c r="F182" t="s">
        <v>175</v>
      </c>
      <c r="G182">
        <v>100000</v>
      </c>
      <c r="H182" s="3">
        <v>51661</v>
      </c>
      <c r="I182" s="3">
        <f t="shared" si="326"/>
        <v>48339</v>
      </c>
      <c r="J182" s="3">
        <v>433564</v>
      </c>
      <c r="K182" s="3">
        <v>417240</v>
      </c>
      <c r="L182" s="9">
        <f t="shared" si="393"/>
        <v>0.51661000000000001</v>
      </c>
      <c r="M182" s="5">
        <f t="shared" si="394"/>
        <v>4.3356399999999997</v>
      </c>
      <c r="N182" s="5">
        <f t="shared" si="395"/>
        <v>4.1723999999999997</v>
      </c>
      <c r="O182" s="5">
        <f t="shared" si="396"/>
        <v>2.4521400000000035</v>
      </c>
      <c r="P182" s="4">
        <f t="shared" si="397"/>
        <v>27.142560000000117</v>
      </c>
    </row>
    <row r="183" spans="1:16" x14ac:dyDescent="0.5">
      <c r="A183" t="s">
        <v>178</v>
      </c>
      <c r="B183" t="str">
        <f>_xlfn.CONCAT("RNG",C183,"xERR",D183,"xARM",E183)</f>
        <v>RNG40xERR40xARM60</v>
      </c>
      <c r="C183">
        <v>40</v>
      </c>
      <c r="D183">
        <v>40</v>
      </c>
      <c r="E183">
        <v>60</v>
      </c>
      <c r="F183" t="s">
        <v>175</v>
      </c>
      <c r="G183">
        <v>100000</v>
      </c>
      <c r="H183" s="3">
        <v>49084</v>
      </c>
      <c r="I183" s="3">
        <f t="shared" si="326"/>
        <v>50916</v>
      </c>
      <c r="J183" s="3">
        <v>432599</v>
      </c>
      <c r="K183" s="3">
        <v>441520</v>
      </c>
      <c r="L183" s="9">
        <f t="shared" si="393"/>
        <v>0.49084</v>
      </c>
      <c r="M183" s="5">
        <f t="shared" si="394"/>
        <v>4.32599</v>
      </c>
      <c r="N183" s="5">
        <f t="shared" si="395"/>
        <v>4.4151999999999996</v>
      </c>
      <c r="O183" s="5">
        <f t="shared" si="396"/>
        <v>-1.722599999999999</v>
      </c>
      <c r="P183" s="4">
        <f t="shared" si="397"/>
        <v>-12.191039999999866</v>
      </c>
    </row>
    <row r="184" spans="1:16" x14ac:dyDescent="0.5">
      <c r="A184" t="s">
        <v>178</v>
      </c>
      <c r="B184" t="str">
        <f t="shared" ref="B184:B191" si="399">_xlfn.CONCAT("RNG",C184,"xERR",D184,"xARM",E184)</f>
        <v>RNG60xERR40xARM60</v>
      </c>
      <c r="C184">
        <v>60</v>
      </c>
      <c r="D184">
        <v>40</v>
      </c>
      <c r="E184">
        <v>60</v>
      </c>
      <c r="F184" t="s">
        <v>175</v>
      </c>
      <c r="G184">
        <v>100000</v>
      </c>
      <c r="H184" s="3">
        <v>49982</v>
      </c>
      <c r="I184" s="3">
        <f t="shared" si="326"/>
        <v>50018</v>
      </c>
      <c r="J184" s="3">
        <v>434504</v>
      </c>
      <c r="K184" s="3">
        <v>436250</v>
      </c>
      <c r="L184" s="9">
        <f t="shared" si="393"/>
        <v>0.49981999999999999</v>
      </c>
      <c r="M184" s="5">
        <f t="shared" si="394"/>
        <v>4.34504</v>
      </c>
      <c r="N184" s="5">
        <f t="shared" si="395"/>
        <v>4.3624999999999998</v>
      </c>
      <c r="O184" s="5">
        <f t="shared" si="396"/>
        <v>-0.26784000000000108</v>
      </c>
      <c r="P184" s="4">
        <f t="shared" si="397"/>
        <v>-3.653639999999907</v>
      </c>
    </row>
    <row r="185" spans="1:16" x14ac:dyDescent="0.5">
      <c r="A185" t="s">
        <v>178</v>
      </c>
      <c r="B185" t="str">
        <f t="shared" si="399"/>
        <v>RNG80xERR40xARM60</v>
      </c>
      <c r="C185">
        <v>80</v>
      </c>
      <c r="D185">
        <v>40</v>
      </c>
      <c r="E185">
        <v>60</v>
      </c>
      <c r="F185" t="s">
        <v>175</v>
      </c>
      <c r="G185">
        <v>100000</v>
      </c>
      <c r="H185" s="3">
        <v>51830</v>
      </c>
      <c r="I185" s="3">
        <f t="shared" si="326"/>
        <v>48170</v>
      </c>
      <c r="J185" s="3">
        <v>433203</v>
      </c>
      <c r="K185" s="3">
        <v>415472</v>
      </c>
      <c r="L185" s="9">
        <f t="shared" si="393"/>
        <v>0.51829999999999998</v>
      </c>
      <c r="M185" s="5">
        <f t="shared" si="394"/>
        <v>4.3320299999999996</v>
      </c>
      <c r="N185" s="5">
        <f t="shared" si="395"/>
        <v>4.1547200000000002</v>
      </c>
      <c r="O185" s="5">
        <f t="shared" si="396"/>
        <v>2.7259199999999986</v>
      </c>
      <c r="P185" s="4">
        <f t="shared" si="397"/>
        <v>30.006720000000033</v>
      </c>
    </row>
    <row r="186" spans="1:16" x14ac:dyDescent="0.5">
      <c r="A186" t="s">
        <v>178</v>
      </c>
      <c r="B186" t="str">
        <f t="shared" si="399"/>
        <v>RNG40xERR60xARM60</v>
      </c>
      <c r="C186">
        <v>40</v>
      </c>
      <c r="D186">
        <v>60</v>
      </c>
      <c r="E186">
        <v>60</v>
      </c>
      <c r="F186" t="s">
        <v>175</v>
      </c>
      <c r="G186">
        <v>100000</v>
      </c>
      <c r="H186" s="3">
        <v>49505</v>
      </c>
      <c r="I186" s="3">
        <f t="shared" si="326"/>
        <v>50495</v>
      </c>
      <c r="J186" s="3">
        <v>434654</v>
      </c>
      <c r="K186" s="3">
        <v>440351</v>
      </c>
      <c r="L186" s="9">
        <f t="shared" si="393"/>
        <v>0.49504999999999999</v>
      </c>
      <c r="M186" s="5">
        <f t="shared" si="394"/>
        <v>4.3465400000000001</v>
      </c>
      <c r="N186" s="5">
        <f t="shared" si="395"/>
        <v>4.4035099999999998</v>
      </c>
      <c r="O186" s="5">
        <f t="shared" si="396"/>
        <v>-1.0405800000000005</v>
      </c>
      <c r="P186" s="4">
        <f t="shared" si="397"/>
        <v>-10.297259999999905</v>
      </c>
    </row>
    <row r="187" spans="1:16" x14ac:dyDescent="0.5">
      <c r="A187" t="s">
        <v>178</v>
      </c>
      <c r="B187" t="str">
        <f t="shared" si="399"/>
        <v>RNG60xERR60xARM60</v>
      </c>
      <c r="C187">
        <v>60</v>
      </c>
      <c r="D187">
        <v>60</v>
      </c>
      <c r="E187">
        <v>60</v>
      </c>
      <c r="F187" t="s">
        <v>175</v>
      </c>
      <c r="G187">
        <v>100000</v>
      </c>
      <c r="H187" s="3">
        <v>50202</v>
      </c>
      <c r="I187" s="3">
        <f t="shared" si="326"/>
        <v>49798</v>
      </c>
      <c r="J187" s="3">
        <v>433767</v>
      </c>
      <c r="K187" s="3">
        <v>432353</v>
      </c>
      <c r="L187" s="9">
        <f t="shared" si="393"/>
        <v>0.50202000000000002</v>
      </c>
      <c r="M187" s="5">
        <f t="shared" si="394"/>
        <v>4.3376700000000001</v>
      </c>
      <c r="N187" s="5">
        <f t="shared" si="395"/>
        <v>4.3235299999999999</v>
      </c>
      <c r="O187" s="5">
        <f t="shared" si="396"/>
        <v>8.8560000000004635E-2</v>
      </c>
      <c r="P187" s="4">
        <f t="shared" si="397"/>
        <v>2.6595000000000848</v>
      </c>
    </row>
    <row r="188" spans="1:16" x14ac:dyDescent="0.5">
      <c r="A188" t="s">
        <v>178</v>
      </c>
      <c r="B188" t="str">
        <f t="shared" si="399"/>
        <v>RNG80xERR60xARM60</v>
      </c>
      <c r="C188">
        <v>80</v>
      </c>
      <c r="D188">
        <v>60</v>
      </c>
      <c r="E188">
        <v>60</v>
      </c>
      <c r="F188" t="s">
        <v>175</v>
      </c>
      <c r="G188">
        <v>100000</v>
      </c>
      <c r="H188" s="3">
        <v>52029</v>
      </c>
      <c r="I188" s="3">
        <f t="shared" si="326"/>
        <v>47971</v>
      </c>
      <c r="J188" s="3">
        <v>433682</v>
      </c>
      <c r="K188" s="3">
        <v>413756</v>
      </c>
      <c r="L188" s="9">
        <f t="shared" si="393"/>
        <v>0.52029000000000003</v>
      </c>
      <c r="M188" s="5">
        <f t="shared" si="394"/>
        <v>4.3368200000000003</v>
      </c>
      <c r="N188" s="5">
        <f t="shared" si="395"/>
        <v>4.1375599999999997</v>
      </c>
      <c r="O188" s="5">
        <f t="shared" si="396"/>
        <v>3.048300000000006</v>
      </c>
      <c r="P188" s="4">
        <f t="shared" si="397"/>
        <v>32.786640000000119</v>
      </c>
    </row>
    <row r="189" spans="1:16" x14ac:dyDescent="0.5">
      <c r="A189" t="s">
        <v>178</v>
      </c>
      <c r="B189" t="str">
        <f t="shared" si="399"/>
        <v>RNG40xERR80xARM60</v>
      </c>
      <c r="C189">
        <v>40</v>
      </c>
      <c r="D189">
        <v>80</v>
      </c>
      <c r="E189">
        <v>60</v>
      </c>
      <c r="F189" t="s">
        <v>175</v>
      </c>
      <c r="G189">
        <v>100000</v>
      </c>
      <c r="H189" s="3">
        <v>49468</v>
      </c>
      <c r="I189" s="3">
        <f t="shared" si="326"/>
        <v>50532</v>
      </c>
      <c r="J189" s="3">
        <v>434891</v>
      </c>
      <c r="K189" s="3">
        <v>440654</v>
      </c>
      <c r="L189" s="9">
        <f t="shared" si="393"/>
        <v>0.49468000000000001</v>
      </c>
      <c r="M189" s="5">
        <f t="shared" si="394"/>
        <v>4.3489100000000001</v>
      </c>
      <c r="N189" s="5">
        <f t="shared" si="395"/>
        <v>4.4065399999999997</v>
      </c>
      <c r="O189" s="5">
        <f t="shared" si="396"/>
        <v>-1.1005199999999975</v>
      </c>
      <c r="P189" s="4">
        <f t="shared" si="397"/>
        <v>-10.788119999999884</v>
      </c>
    </row>
    <row r="190" spans="1:16" x14ac:dyDescent="0.5">
      <c r="A190" t="s">
        <v>178</v>
      </c>
      <c r="B190" t="str">
        <f t="shared" si="399"/>
        <v>RNG60xERR80xARM60</v>
      </c>
      <c r="C190">
        <v>60</v>
      </c>
      <c r="D190">
        <v>80</v>
      </c>
      <c r="E190">
        <v>60</v>
      </c>
      <c r="F190" t="s">
        <v>175</v>
      </c>
      <c r="G190">
        <v>100000</v>
      </c>
      <c r="H190" s="3">
        <v>50195</v>
      </c>
      <c r="I190" s="3">
        <f t="shared" si="326"/>
        <v>49805</v>
      </c>
      <c r="J190" s="3">
        <v>432497</v>
      </c>
      <c r="K190" s="3">
        <v>431119</v>
      </c>
      <c r="L190" s="9">
        <f t="shared" si="393"/>
        <v>0.50195000000000001</v>
      </c>
      <c r="M190" s="5">
        <f t="shared" si="394"/>
        <v>4.3249700000000004</v>
      </c>
      <c r="N190" s="5">
        <f t="shared" si="395"/>
        <v>4.3111899999999999</v>
      </c>
      <c r="O190" s="5">
        <f t="shared" si="396"/>
        <v>7.7220000000002287E-2</v>
      </c>
      <c r="P190" s="4">
        <f t="shared" si="397"/>
        <v>4.6585800000000877</v>
      </c>
    </row>
    <row r="191" spans="1:16" x14ac:dyDescent="0.5">
      <c r="A191" t="s">
        <v>178</v>
      </c>
      <c r="B191" t="str">
        <f t="shared" si="399"/>
        <v>RNG80xERR80xARM60</v>
      </c>
      <c r="C191">
        <v>80</v>
      </c>
      <c r="D191">
        <v>80</v>
      </c>
      <c r="E191">
        <v>60</v>
      </c>
      <c r="F191" t="s">
        <v>175</v>
      </c>
      <c r="G191">
        <v>100000</v>
      </c>
      <c r="H191" s="3">
        <v>52228</v>
      </c>
      <c r="I191" s="3">
        <f t="shared" si="326"/>
        <v>47772</v>
      </c>
      <c r="J191" s="3">
        <v>434443</v>
      </c>
      <c r="K191" s="3">
        <v>413957</v>
      </c>
      <c r="L191" s="9">
        <f t="shared" si="393"/>
        <v>0.52227999999999997</v>
      </c>
      <c r="M191" s="5">
        <f t="shared" si="394"/>
        <v>4.34443</v>
      </c>
      <c r="N191" s="5">
        <f t="shared" si="395"/>
        <v>4.13957</v>
      </c>
      <c r="O191" s="5">
        <f t="shared" si="396"/>
        <v>3.3706799999999957</v>
      </c>
      <c r="P191" s="4">
        <f t="shared" si="397"/>
        <v>32.461020000000069</v>
      </c>
    </row>
    <row r="192" spans="1:16" x14ac:dyDescent="0.5">
      <c r="A192" t="s">
        <v>178</v>
      </c>
      <c r="B192" t="str">
        <f t="shared" ref="B192" si="400">_xlfn.CONCAT("RNG",C192,"xERR",D192,"xARM",E192)</f>
        <v>RNG40xERR40xARM80</v>
      </c>
      <c r="C192">
        <v>40</v>
      </c>
      <c r="D192">
        <v>40</v>
      </c>
      <c r="E192">
        <v>80</v>
      </c>
      <c r="F192" t="s">
        <v>175</v>
      </c>
      <c r="G192">
        <v>100000</v>
      </c>
      <c r="H192" s="3">
        <v>49672</v>
      </c>
      <c r="I192" s="3">
        <f t="shared" ref="I192:I200" si="401">G192-H192</f>
        <v>50328</v>
      </c>
      <c r="J192" s="3">
        <v>434257</v>
      </c>
      <c r="K192" s="3">
        <v>439065</v>
      </c>
      <c r="L192" s="9">
        <f t="shared" si="393"/>
        <v>0.49671999999999999</v>
      </c>
      <c r="M192" s="5">
        <f t="shared" si="394"/>
        <v>4.3425700000000003</v>
      </c>
      <c r="N192" s="5">
        <f t="shared" si="395"/>
        <v>4.3906499999999999</v>
      </c>
      <c r="O192" s="5">
        <f t="shared" si="396"/>
        <v>-0.77003999999999972</v>
      </c>
      <c r="P192" s="4">
        <f t="shared" si="397"/>
        <v>-8.2139399999999263</v>
      </c>
    </row>
    <row r="193" spans="1:16" x14ac:dyDescent="0.5">
      <c r="A193" t="s">
        <v>178</v>
      </c>
      <c r="B193" t="str">
        <f t="shared" ref="B193:B203" si="402">_xlfn.CONCAT("RNG",C193,"xERR",D193,"xARM",E193)</f>
        <v>RNG60xERR40xARM80</v>
      </c>
      <c r="C193">
        <v>60</v>
      </c>
      <c r="D193">
        <v>40</v>
      </c>
      <c r="E193">
        <v>80</v>
      </c>
      <c r="F193" t="s">
        <v>175</v>
      </c>
      <c r="G193">
        <v>100000</v>
      </c>
      <c r="H193" s="3">
        <v>50116</v>
      </c>
      <c r="I193" s="3">
        <f t="shared" si="401"/>
        <v>49884</v>
      </c>
      <c r="J193" s="3">
        <v>433910</v>
      </c>
      <c r="K193" s="3">
        <v>432477</v>
      </c>
      <c r="L193" s="9">
        <f t="shared" si="393"/>
        <v>0.50116000000000005</v>
      </c>
      <c r="M193" s="5">
        <f t="shared" si="394"/>
        <v>4.3391000000000002</v>
      </c>
      <c r="N193" s="5">
        <f t="shared" si="395"/>
        <v>4.32477</v>
      </c>
      <c r="O193" s="5">
        <f t="shared" si="396"/>
        <v>-5.0759999999990812E-2</v>
      </c>
      <c r="P193" s="4">
        <f t="shared" si="397"/>
        <v>2.4586200000000638</v>
      </c>
    </row>
    <row r="194" spans="1:16" x14ac:dyDescent="0.5">
      <c r="A194" t="s">
        <v>178</v>
      </c>
      <c r="B194" t="str">
        <f t="shared" si="402"/>
        <v>RNG80xERR40xARM80</v>
      </c>
      <c r="C194">
        <v>80</v>
      </c>
      <c r="D194">
        <v>40</v>
      </c>
      <c r="E194">
        <v>80</v>
      </c>
      <c r="F194" t="s">
        <v>175</v>
      </c>
      <c r="G194">
        <v>100000</v>
      </c>
      <c r="H194" s="3">
        <v>52811</v>
      </c>
      <c r="I194" s="3">
        <f t="shared" si="401"/>
        <v>47189</v>
      </c>
      <c r="J194" s="3">
        <v>436039</v>
      </c>
      <c r="K194" s="3">
        <v>410367</v>
      </c>
      <c r="L194" s="9">
        <f t="shared" si="393"/>
        <v>0.52810999999999997</v>
      </c>
      <c r="M194" s="5">
        <f t="shared" si="394"/>
        <v>4.3603899999999998</v>
      </c>
      <c r="N194" s="5">
        <f t="shared" si="395"/>
        <v>4.1036700000000002</v>
      </c>
      <c r="O194" s="5">
        <f t="shared" si="396"/>
        <v>4.315139999999996</v>
      </c>
      <c r="P194" s="4">
        <f t="shared" si="397"/>
        <v>38.276820000000043</v>
      </c>
    </row>
    <row r="195" spans="1:16" x14ac:dyDescent="0.5">
      <c r="A195" t="s">
        <v>178</v>
      </c>
      <c r="B195" t="str">
        <f t="shared" si="402"/>
        <v>RNG40xERR60xARM80</v>
      </c>
      <c r="C195">
        <v>40</v>
      </c>
      <c r="D195">
        <v>60</v>
      </c>
      <c r="E195">
        <v>80</v>
      </c>
      <c r="F195" t="s">
        <v>175</v>
      </c>
      <c r="G195">
        <v>100000</v>
      </c>
      <c r="H195" s="3">
        <v>49962</v>
      </c>
      <c r="I195" s="3">
        <f t="shared" si="401"/>
        <v>50038</v>
      </c>
      <c r="J195" s="3">
        <v>434209</v>
      </c>
      <c r="K195" s="3">
        <v>435913</v>
      </c>
      <c r="L195" s="9">
        <f t="shared" si="393"/>
        <v>0.49962000000000001</v>
      </c>
      <c r="M195" s="5">
        <f t="shared" si="394"/>
        <v>4.3420899999999998</v>
      </c>
      <c r="N195" s="5">
        <f t="shared" si="395"/>
        <v>4.3591300000000004</v>
      </c>
      <c r="O195" s="5">
        <f t="shared" si="396"/>
        <v>-0.30023999999999751</v>
      </c>
      <c r="P195" s="4">
        <f t="shared" si="397"/>
        <v>-3.1076999999999995</v>
      </c>
    </row>
    <row r="196" spans="1:16" x14ac:dyDescent="0.5">
      <c r="A196" t="s">
        <v>178</v>
      </c>
      <c r="B196" t="str">
        <f t="shared" si="402"/>
        <v>RNG60xERR60xARM80</v>
      </c>
      <c r="C196">
        <v>60</v>
      </c>
      <c r="D196">
        <v>60</v>
      </c>
      <c r="E196">
        <v>80</v>
      </c>
      <c r="F196" t="s">
        <v>175</v>
      </c>
      <c r="G196">
        <v>100000</v>
      </c>
      <c r="H196" s="3">
        <v>50427</v>
      </c>
      <c r="I196" s="3">
        <f t="shared" si="401"/>
        <v>49573</v>
      </c>
      <c r="J196" s="3">
        <v>434917</v>
      </c>
      <c r="K196" s="3">
        <v>431192</v>
      </c>
      <c r="L196" s="9">
        <f t="shared" si="393"/>
        <v>0.50427</v>
      </c>
      <c r="M196" s="5">
        <f t="shared" si="394"/>
        <v>4.34917</v>
      </c>
      <c r="N196" s="5">
        <f t="shared" si="395"/>
        <v>4.3119199999999998</v>
      </c>
      <c r="O196" s="5">
        <f t="shared" si="396"/>
        <v>0.45306000000000046</v>
      </c>
      <c r="P196" s="4">
        <f t="shared" si="397"/>
        <v>4.5403200000001043</v>
      </c>
    </row>
    <row r="197" spans="1:16" x14ac:dyDescent="0.5">
      <c r="A197" t="s">
        <v>178</v>
      </c>
      <c r="B197" t="str">
        <f t="shared" si="402"/>
        <v>RNG80xERR60xARM80</v>
      </c>
      <c r="C197">
        <v>80</v>
      </c>
      <c r="D197">
        <v>60</v>
      </c>
      <c r="E197">
        <v>80</v>
      </c>
      <c r="F197" t="s">
        <v>175</v>
      </c>
      <c r="G197">
        <v>100000</v>
      </c>
      <c r="H197" s="3">
        <v>52524</v>
      </c>
      <c r="I197" s="3">
        <f t="shared" si="401"/>
        <v>47476</v>
      </c>
      <c r="J197" s="3">
        <v>432848</v>
      </c>
      <c r="K197" s="3">
        <v>409602</v>
      </c>
      <c r="L197" s="9">
        <f t="shared" si="393"/>
        <v>0.52524000000000004</v>
      </c>
      <c r="M197" s="5">
        <f t="shared" si="394"/>
        <v>4.3284799999999999</v>
      </c>
      <c r="N197" s="5">
        <f t="shared" si="395"/>
        <v>4.0960200000000002</v>
      </c>
      <c r="O197" s="5">
        <f t="shared" si="396"/>
        <v>3.8502000000000076</v>
      </c>
      <c r="P197" s="4">
        <f t="shared" si="397"/>
        <v>39.516120000000029</v>
      </c>
    </row>
    <row r="198" spans="1:16" x14ac:dyDescent="0.5">
      <c r="A198" t="s">
        <v>178</v>
      </c>
      <c r="B198" t="str">
        <f t="shared" si="402"/>
        <v>RNG40xERR80xARM80</v>
      </c>
      <c r="C198">
        <v>40</v>
      </c>
      <c r="D198">
        <v>80</v>
      </c>
      <c r="E198">
        <v>80</v>
      </c>
      <c r="F198" t="s">
        <v>175</v>
      </c>
      <c r="G198">
        <v>100000</v>
      </c>
      <c r="H198" s="3">
        <v>49823</v>
      </c>
      <c r="I198" s="3">
        <f t="shared" si="401"/>
        <v>50177</v>
      </c>
      <c r="J198" s="3">
        <v>434802</v>
      </c>
      <c r="K198" s="3">
        <v>437734</v>
      </c>
      <c r="L198" s="9">
        <f t="shared" si="393"/>
        <v>0.49823000000000001</v>
      </c>
      <c r="M198" s="5">
        <f t="shared" si="394"/>
        <v>4.34802</v>
      </c>
      <c r="N198" s="5">
        <f t="shared" si="395"/>
        <v>4.3773400000000002</v>
      </c>
      <c r="O198" s="5">
        <f t="shared" si="396"/>
        <v>-0.52541999999999789</v>
      </c>
      <c r="P198" s="4">
        <f t="shared" si="397"/>
        <v>-6.0577199999999731</v>
      </c>
    </row>
    <row r="199" spans="1:16" x14ac:dyDescent="0.5">
      <c r="A199" t="s">
        <v>178</v>
      </c>
      <c r="B199" t="str">
        <f t="shared" si="402"/>
        <v>RNG60xERR80xARM80</v>
      </c>
      <c r="C199">
        <v>60</v>
      </c>
      <c r="D199">
        <v>80</v>
      </c>
      <c r="E199">
        <v>80</v>
      </c>
      <c r="F199" t="s">
        <v>175</v>
      </c>
      <c r="G199">
        <v>100000</v>
      </c>
      <c r="H199" s="3">
        <v>50400</v>
      </c>
      <c r="I199" s="3">
        <f t="shared" si="401"/>
        <v>49600</v>
      </c>
      <c r="J199" s="3">
        <v>433071</v>
      </c>
      <c r="K199" s="3">
        <v>429270</v>
      </c>
      <c r="L199" s="9">
        <f t="shared" si="393"/>
        <v>0.504</v>
      </c>
      <c r="M199" s="5">
        <f t="shared" si="394"/>
        <v>4.3307099999999998</v>
      </c>
      <c r="N199" s="5">
        <f t="shared" si="395"/>
        <v>4.2927</v>
      </c>
      <c r="O199" s="5">
        <f t="shared" si="396"/>
        <v>0.40932000000000168</v>
      </c>
      <c r="P199" s="4">
        <f t="shared" si="397"/>
        <v>7.6539600000000707</v>
      </c>
    </row>
    <row r="200" spans="1:16" x14ac:dyDescent="0.5">
      <c r="A200" t="s">
        <v>178</v>
      </c>
      <c r="B200" t="str">
        <f t="shared" si="402"/>
        <v>RNG80xERR80xARM80</v>
      </c>
      <c r="C200">
        <v>80</v>
      </c>
      <c r="D200">
        <v>80</v>
      </c>
      <c r="E200">
        <v>80</v>
      </c>
      <c r="F200" t="s">
        <v>175</v>
      </c>
      <c r="G200">
        <v>100000</v>
      </c>
      <c r="H200" s="3">
        <v>52585</v>
      </c>
      <c r="I200" s="3">
        <f t="shared" si="401"/>
        <v>47415</v>
      </c>
      <c r="J200" s="3">
        <v>433348</v>
      </c>
      <c r="K200" s="3">
        <v>409532</v>
      </c>
      <c r="L200" s="9">
        <f t="shared" si="393"/>
        <v>0.52585000000000004</v>
      </c>
      <c r="M200" s="5">
        <f t="shared" si="394"/>
        <v>4.3334799999999998</v>
      </c>
      <c r="N200" s="5">
        <f t="shared" si="395"/>
        <v>4.0953200000000001</v>
      </c>
      <c r="O200" s="5">
        <f t="shared" si="396"/>
        <v>3.9490200000000075</v>
      </c>
      <c r="P200" s="4">
        <f t="shared" si="397"/>
        <v>39.629520000000056</v>
      </c>
    </row>
    <row r="201" spans="1:16" x14ac:dyDescent="0.5">
      <c r="A201" t="s">
        <v>178</v>
      </c>
      <c r="B201" t="str">
        <f t="shared" si="402"/>
        <v>RNG70xERR60xARM40</v>
      </c>
      <c r="C201">
        <v>70</v>
      </c>
      <c r="D201">
        <v>60</v>
      </c>
      <c r="E201">
        <v>40</v>
      </c>
      <c r="F201" t="s">
        <v>175</v>
      </c>
      <c r="G201">
        <v>100000</v>
      </c>
      <c r="H201" s="3">
        <v>51241</v>
      </c>
      <c r="I201" s="3">
        <f t="shared" ref="I201:I209" si="403">G201-H201</f>
        <v>48759</v>
      </c>
      <c r="J201" s="3">
        <v>433438</v>
      </c>
      <c r="K201" s="3">
        <v>419951</v>
      </c>
      <c r="L201" s="9">
        <f t="shared" ref="L201:L203" si="404">H201/G201</f>
        <v>0.51241000000000003</v>
      </c>
      <c r="M201" s="5">
        <f t="shared" ref="M201:M203" si="405">J201/G201</f>
        <v>4.3343800000000003</v>
      </c>
      <c r="N201" s="5">
        <f t="shared" ref="N201:N203" si="406">K201/G201</f>
        <v>4.1995100000000001</v>
      </c>
      <c r="O201" s="5">
        <f t="shared" ref="O201:O203" si="407">(L201-$L$7)*162</f>
        <v>1.7717400000000063</v>
      </c>
      <c r="P201" s="4">
        <f t="shared" ref="P201:P203" si="408">-(N201-$N$7)*162</f>
        <v>22.75074000000005</v>
      </c>
    </row>
    <row r="202" spans="1:16" x14ac:dyDescent="0.5">
      <c r="A202" t="s">
        <v>178</v>
      </c>
      <c r="B202" t="str">
        <f t="shared" si="402"/>
        <v>RNG70xERR60xARM60</v>
      </c>
      <c r="C202">
        <v>70</v>
      </c>
      <c r="D202">
        <v>60</v>
      </c>
      <c r="E202">
        <v>60</v>
      </c>
      <c r="F202" t="s">
        <v>175</v>
      </c>
      <c r="G202">
        <v>100000</v>
      </c>
      <c r="H202" s="3">
        <v>52301</v>
      </c>
      <c r="I202" s="3">
        <f t="shared" si="403"/>
        <v>47699</v>
      </c>
      <c r="J202" s="3">
        <v>433853</v>
      </c>
      <c r="K202" s="3">
        <v>411876</v>
      </c>
      <c r="L202" s="9">
        <f t="shared" si="404"/>
        <v>0.52300999999999997</v>
      </c>
      <c r="M202" s="5">
        <f t="shared" si="405"/>
        <v>4.3385300000000004</v>
      </c>
      <c r="N202" s="5">
        <f t="shared" si="406"/>
        <v>4.11876</v>
      </c>
      <c r="O202" s="5">
        <f t="shared" si="407"/>
        <v>3.4889399999999968</v>
      </c>
      <c r="P202" s="4">
        <f t="shared" si="408"/>
        <v>35.83224000000007</v>
      </c>
    </row>
    <row r="203" spans="1:16" x14ac:dyDescent="0.5">
      <c r="A203" t="s">
        <v>178</v>
      </c>
      <c r="B203" t="str">
        <f t="shared" si="402"/>
        <v>RNG70xERR60xARM80</v>
      </c>
      <c r="C203">
        <v>70</v>
      </c>
      <c r="D203">
        <v>60</v>
      </c>
      <c r="E203">
        <v>80</v>
      </c>
      <c r="F203" t="s">
        <v>175</v>
      </c>
      <c r="G203">
        <v>100000</v>
      </c>
      <c r="H203" s="3">
        <v>52684</v>
      </c>
      <c r="I203" s="3">
        <f t="shared" si="403"/>
        <v>47316</v>
      </c>
      <c r="J203" s="3">
        <v>433986</v>
      </c>
      <c r="K203" s="3">
        <v>409775</v>
      </c>
      <c r="L203" s="9">
        <f t="shared" si="404"/>
        <v>0.52683999999999997</v>
      </c>
      <c r="M203" s="5">
        <f t="shared" si="405"/>
        <v>4.3398599999999998</v>
      </c>
      <c r="N203" s="5">
        <f t="shared" si="406"/>
        <v>4.0977499999999996</v>
      </c>
      <c r="O203" s="5">
        <f t="shared" si="407"/>
        <v>4.1093999999999973</v>
      </c>
      <c r="P203" s="4">
        <f t="shared" si="408"/>
        <v>39.235860000000137</v>
      </c>
    </row>
    <row r="204" spans="1:16" x14ac:dyDescent="0.5">
      <c r="A204" t="s">
        <v>178</v>
      </c>
      <c r="B204" t="str">
        <f t="shared" ref="B204:B209" si="409">_xlfn.CONCAT("RNG",C204,"xERR",D204,"xARM",E204)</f>
        <v>RNG65xERR60xARM40</v>
      </c>
      <c r="C204">
        <v>65</v>
      </c>
      <c r="D204">
        <v>60</v>
      </c>
      <c r="E204">
        <v>40</v>
      </c>
      <c r="F204" t="s">
        <v>175</v>
      </c>
      <c r="G204">
        <v>100000</v>
      </c>
      <c r="H204" s="3">
        <v>51182</v>
      </c>
      <c r="I204" s="3">
        <f t="shared" si="403"/>
        <v>48818</v>
      </c>
      <c r="J204" s="3">
        <v>432614</v>
      </c>
      <c r="K204" s="3">
        <v>419790</v>
      </c>
      <c r="L204" s="9">
        <f t="shared" ref="L204:L206" si="410">H204/G204</f>
        <v>0.51182000000000005</v>
      </c>
      <c r="M204" s="5">
        <f t="shared" ref="M204:M206" si="411">J204/G204</f>
        <v>4.3261399999999997</v>
      </c>
      <c r="N204" s="5">
        <f t="shared" ref="N204:N206" si="412">K204/G204</f>
        <v>4.1978999999999997</v>
      </c>
      <c r="O204" s="5">
        <f t="shared" ref="O204:O206" si="413">(L204-$L$7)*162</f>
        <v>1.6761600000000096</v>
      </c>
      <c r="P204" s="4">
        <f t="shared" ref="P204:P206" si="414">-(N204-$N$7)*162</f>
        <v>23.011560000000106</v>
      </c>
    </row>
    <row r="205" spans="1:16" x14ac:dyDescent="0.5">
      <c r="A205" t="s">
        <v>178</v>
      </c>
      <c r="B205" t="str">
        <f t="shared" si="409"/>
        <v>RNG65xERR60xARM60</v>
      </c>
      <c r="C205">
        <v>65</v>
      </c>
      <c r="D205">
        <v>60</v>
      </c>
      <c r="E205">
        <v>60</v>
      </c>
      <c r="F205" t="s">
        <v>175</v>
      </c>
      <c r="G205">
        <v>100000</v>
      </c>
      <c r="H205" s="3">
        <v>51975</v>
      </c>
      <c r="I205" s="3">
        <f t="shared" si="403"/>
        <v>48025</v>
      </c>
      <c r="J205" s="3">
        <v>433801</v>
      </c>
      <c r="K205" s="3">
        <v>415251</v>
      </c>
      <c r="L205" s="9">
        <f t="shared" si="410"/>
        <v>0.51975000000000005</v>
      </c>
      <c r="M205" s="5">
        <f t="shared" si="411"/>
        <v>4.3380099999999997</v>
      </c>
      <c r="N205" s="5">
        <f t="shared" si="412"/>
        <v>4.1525100000000004</v>
      </c>
      <c r="O205" s="5">
        <f t="shared" si="413"/>
        <v>2.9608200000000084</v>
      </c>
      <c r="P205" s="4">
        <f t="shared" si="414"/>
        <v>30.364740000000005</v>
      </c>
    </row>
    <row r="206" spans="1:16" x14ac:dyDescent="0.5">
      <c r="A206" t="s">
        <v>178</v>
      </c>
      <c r="B206" t="str">
        <f t="shared" si="409"/>
        <v>RNG65xERR60xARM80</v>
      </c>
      <c r="C206">
        <v>65</v>
      </c>
      <c r="D206">
        <v>60</v>
      </c>
      <c r="E206">
        <v>80</v>
      </c>
      <c r="F206" t="s">
        <v>175</v>
      </c>
      <c r="G206">
        <v>100000</v>
      </c>
      <c r="H206" s="3">
        <v>52680</v>
      </c>
      <c r="I206" s="3">
        <f t="shared" si="403"/>
        <v>47320</v>
      </c>
      <c r="J206" s="3">
        <v>434466</v>
      </c>
      <c r="K206" s="3">
        <v>409611</v>
      </c>
      <c r="L206" s="9">
        <f t="shared" si="410"/>
        <v>0.52680000000000005</v>
      </c>
      <c r="M206" s="5">
        <f t="shared" si="411"/>
        <v>4.3446600000000002</v>
      </c>
      <c r="N206" s="5">
        <f t="shared" si="412"/>
        <v>4.0961100000000004</v>
      </c>
      <c r="O206" s="5">
        <f t="shared" si="413"/>
        <v>4.1029200000000081</v>
      </c>
      <c r="P206" s="4">
        <f t="shared" si="414"/>
        <v>39.501540000000006</v>
      </c>
    </row>
    <row r="207" spans="1:16" x14ac:dyDescent="0.5">
      <c r="A207" t="s">
        <v>178</v>
      </c>
      <c r="B207" t="str">
        <f t="shared" si="409"/>
        <v>RNG45xERR60xARM60</v>
      </c>
      <c r="C207">
        <v>45</v>
      </c>
      <c r="D207">
        <v>60</v>
      </c>
      <c r="E207">
        <v>60</v>
      </c>
      <c r="F207" t="s">
        <v>175</v>
      </c>
      <c r="G207">
        <v>100000</v>
      </c>
      <c r="H207" s="3">
        <v>49302</v>
      </c>
      <c r="I207" s="3">
        <f t="shared" si="403"/>
        <v>50698</v>
      </c>
      <c r="J207" s="3">
        <v>434539</v>
      </c>
      <c r="K207" s="3">
        <v>440957</v>
      </c>
      <c r="L207" s="9">
        <f t="shared" ref="L207:L209" si="415">H207/G207</f>
        <v>0.49302000000000001</v>
      </c>
      <c r="M207" s="5">
        <f t="shared" ref="M207:M209" si="416">J207/G207</f>
        <v>4.3453900000000001</v>
      </c>
      <c r="N207" s="5">
        <f t="shared" ref="N207:N209" si="417">K207/G207</f>
        <v>4.4095700000000004</v>
      </c>
      <c r="O207" s="5">
        <f t="shared" ref="O207:O209" si="418">(L207-$L$7)*162</f>
        <v>-1.3694399999999967</v>
      </c>
      <c r="P207" s="4">
        <f t="shared" ref="P207:P209" si="419">-(N207-$N$7)*162</f>
        <v>-11.278980000000006</v>
      </c>
    </row>
    <row r="208" spans="1:16" x14ac:dyDescent="0.5">
      <c r="A208" t="s">
        <v>178</v>
      </c>
      <c r="B208" t="str">
        <f t="shared" si="409"/>
        <v>RNG50xERR60xARM60</v>
      </c>
      <c r="C208">
        <v>50</v>
      </c>
      <c r="D208">
        <v>60</v>
      </c>
      <c r="E208">
        <v>60</v>
      </c>
      <c r="F208" t="s">
        <v>175</v>
      </c>
      <c r="G208">
        <v>100000</v>
      </c>
      <c r="H208" s="3">
        <v>49379</v>
      </c>
      <c r="I208" s="3">
        <f t="shared" si="403"/>
        <v>50621</v>
      </c>
      <c r="J208" s="3">
        <v>434833</v>
      </c>
      <c r="K208" s="3">
        <v>440526</v>
      </c>
      <c r="L208" s="9">
        <f t="shared" si="415"/>
        <v>0.49379000000000001</v>
      </c>
      <c r="M208" s="5">
        <f t="shared" si="416"/>
        <v>4.3483299999999998</v>
      </c>
      <c r="N208" s="5">
        <f t="shared" si="417"/>
        <v>4.4052600000000002</v>
      </c>
      <c r="O208" s="5">
        <f t="shared" si="418"/>
        <v>-1.2446999999999977</v>
      </c>
      <c r="P208" s="4">
        <f t="shared" si="419"/>
        <v>-10.580759999999964</v>
      </c>
    </row>
    <row r="209" spans="1:16" x14ac:dyDescent="0.5">
      <c r="A209" t="s">
        <v>178</v>
      </c>
      <c r="B209" t="str">
        <f t="shared" si="409"/>
        <v>RNG55xERR60xARM60</v>
      </c>
      <c r="C209">
        <v>55</v>
      </c>
      <c r="D209">
        <v>60</v>
      </c>
      <c r="E209">
        <v>60</v>
      </c>
      <c r="F209" t="s">
        <v>175</v>
      </c>
      <c r="G209">
        <v>100000</v>
      </c>
      <c r="H209" s="3">
        <v>49451</v>
      </c>
      <c r="I209" s="3">
        <f t="shared" si="403"/>
        <v>50549</v>
      </c>
      <c r="J209" s="3">
        <v>434265</v>
      </c>
      <c r="K209" s="3">
        <v>440136</v>
      </c>
      <c r="L209" s="9">
        <f t="shared" si="415"/>
        <v>0.49451000000000001</v>
      </c>
      <c r="M209" s="5">
        <f t="shared" si="416"/>
        <v>4.3426499999999999</v>
      </c>
      <c r="N209" s="5">
        <f t="shared" si="417"/>
        <v>4.4013600000000004</v>
      </c>
      <c r="O209" s="5">
        <f t="shared" si="418"/>
        <v>-1.1280599999999981</v>
      </c>
      <c r="P209" s="4">
        <f t="shared" si="419"/>
        <v>-9.9489599999999978</v>
      </c>
    </row>
    <row r="210" spans="1:16" x14ac:dyDescent="0.5">
      <c r="A210" s="18" t="s">
        <v>180</v>
      </c>
      <c r="B210" s="18" t="s">
        <v>165</v>
      </c>
      <c r="C210" s="18">
        <v>50</v>
      </c>
      <c r="D210" s="18">
        <v>45</v>
      </c>
      <c r="E210" s="18">
        <v>50</v>
      </c>
      <c r="F210" s="18" t="s">
        <v>175</v>
      </c>
      <c r="G210" s="18">
        <v>100000</v>
      </c>
      <c r="H210" s="19">
        <v>50147.333333333336</v>
      </c>
      <c r="I210" s="19">
        <v>49852.666666666664</v>
      </c>
      <c r="J210" s="19">
        <v>434431.33333333331</v>
      </c>
      <c r="K210" s="19">
        <v>433994.66666666669</v>
      </c>
      <c r="L210" s="20">
        <v>0.50147333333333333</v>
      </c>
      <c r="M210" s="21">
        <v>4.344313333333333</v>
      </c>
      <c r="N210" s="21">
        <v>4.3399466666666671</v>
      </c>
      <c r="O210" s="21" t="s">
        <v>50</v>
      </c>
      <c r="P210" s="22" t="s">
        <v>50</v>
      </c>
    </row>
    <row r="211" spans="1:16" x14ac:dyDescent="0.5">
      <c r="A211" t="s">
        <v>180</v>
      </c>
      <c r="B211" t="str">
        <f>_xlfn.CONCAT("RNG",C211,"xERR",D211,"xARM",E211)</f>
        <v>RNG40xERR40xARM40</v>
      </c>
      <c r="C211">
        <v>40</v>
      </c>
      <c r="D211">
        <v>40</v>
      </c>
      <c r="E211">
        <v>40</v>
      </c>
      <c r="F211" t="s">
        <v>175</v>
      </c>
      <c r="G211">
        <v>100000</v>
      </c>
      <c r="H211" s="3">
        <v>49373</v>
      </c>
      <c r="I211" s="3">
        <f t="shared" ref="I211:I240" si="420">G211-H211</f>
        <v>50627</v>
      </c>
      <c r="J211" s="3">
        <v>435057</v>
      </c>
      <c r="K211" s="3">
        <v>443397</v>
      </c>
      <c r="L211" s="9">
        <f t="shared" ref="L211:L237" si="421">H211/G211</f>
        <v>0.49373</v>
      </c>
      <c r="M211" s="5">
        <f t="shared" ref="M211:M237" si="422">J211/G211</f>
        <v>4.3505700000000003</v>
      </c>
      <c r="N211" s="5">
        <f t="shared" ref="N211:N237" si="423">K211/G211</f>
        <v>4.4339700000000004</v>
      </c>
      <c r="O211" s="5">
        <f t="shared" ref="O211:O237" si="424">(L211-$L$7)*162</f>
        <v>-1.2544199999999985</v>
      </c>
      <c r="P211" s="4">
        <f t="shared" ref="P211:P237" si="425">-(N211-$N$7)*162</f>
        <v>-15.231780000000002</v>
      </c>
    </row>
    <row r="212" spans="1:16" x14ac:dyDescent="0.5">
      <c r="A212" t="s">
        <v>180</v>
      </c>
      <c r="B212" t="str">
        <f t="shared" ref="B212:B219" si="426">_xlfn.CONCAT("RNG",C212,"xERR",D212,"xARM",E212)</f>
        <v>RNG60xERR40xARM40</v>
      </c>
      <c r="C212">
        <v>60</v>
      </c>
      <c r="D212">
        <v>40</v>
      </c>
      <c r="E212">
        <v>40</v>
      </c>
      <c r="F212" t="s">
        <v>175</v>
      </c>
      <c r="G212">
        <v>100000</v>
      </c>
      <c r="H212" s="3">
        <v>50864</v>
      </c>
      <c r="I212" s="3">
        <f t="shared" si="420"/>
        <v>49136</v>
      </c>
      <c r="J212" s="3">
        <v>433383</v>
      </c>
      <c r="K212" s="3">
        <v>424960</v>
      </c>
      <c r="L212" s="9">
        <f t="shared" si="421"/>
        <v>0.50863999999999998</v>
      </c>
      <c r="M212" s="5">
        <f t="shared" si="422"/>
        <v>4.3338299999999998</v>
      </c>
      <c r="N212" s="5">
        <f t="shared" si="423"/>
        <v>4.2496</v>
      </c>
      <c r="O212" s="5">
        <f t="shared" si="424"/>
        <v>1.160999999999998</v>
      </c>
      <c r="P212" s="4">
        <f t="shared" si="425"/>
        <v>14.636160000000057</v>
      </c>
    </row>
    <row r="213" spans="1:16" x14ac:dyDescent="0.5">
      <c r="A213" t="s">
        <v>180</v>
      </c>
      <c r="B213" t="str">
        <f t="shared" si="426"/>
        <v>RNG80xERR40xARM40</v>
      </c>
      <c r="C213">
        <v>80</v>
      </c>
      <c r="D213">
        <v>40</v>
      </c>
      <c r="E213">
        <v>40</v>
      </c>
      <c r="F213" t="s">
        <v>175</v>
      </c>
      <c r="G213">
        <v>100000</v>
      </c>
      <c r="H213" s="3">
        <v>50907</v>
      </c>
      <c r="I213" s="3">
        <f t="shared" si="420"/>
        <v>49093</v>
      </c>
      <c r="J213" s="3">
        <v>432717</v>
      </c>
      <c r="K213" s="3">
        <v>424402</v>
      </c>
      <c r="L213" s="9">
        <f t="shared" si="421"/>
        <v>0.50907000000000002</v>
      </c>
      <c r="M213" s="5">
        <f t="shared" si="422"/>
        <v>4.3271699999999997</v>
      </c>
      <c r="N213" s="5">
        <f t="shared" si="423"/>
        <v>4.2440199999999999</v>
      </c>
      <c r="O213" s="5">
        <f t="shared" si="424"/>
        <v>1.2306600000000048</v>
      </c>
      <c r="P213" s="4">
        <f t="shared" si="425"/>
        <v>15.54012000000008</v>
      </c>
    </row>
    <row r="214" spans="1:16" x14ac:dyDescent="0.5">
      <c r="A214" t="s">
        <v>180</v>
      </c>
      <c r="B214" t="str">
        <f t="shared" si="426"/>
        <v>RNG40xERR60xARM40</v>
      </c>
      <c r="C214">
        <v>40</v>
      </c>
      <c r="D214">
        <v>60</v>
      </c>
      <c r="E214">
        <v>40</v>
      </c>
      <c r="F214" t="s">
        <v>175</v>
      </c>
      <c r="G214">
        <v>100000</v>
      </c>
      <c r="H214" s="3">
        <v>49376</v>
      </c>
      <c r="I214" s="3">
        <f t="shared" si="420"/>
        <v>50624</v>
      </c>
      <c r="J214" s="3">
        <v>434144</v>
      </c>
      <c r="K214" s="3">
        <v>440559</v>
      </c>
      <c r="L214" s="9">
        <f t="shared" si="421"/>
        <v>0.49375999999999998</v>
      </c>
      <c r="M214" s="5">
        <f t="shared" si="422"/>
        <v>4.3414400000000004</v>
      </c>
      <c r="N214" s="5">
        <f t="shared" si="423"/>
        <v>4.4055900000000001</v>
      </c>
      <c r="O214" s="5">
        <f t="shared" si="424"/>
        <v>-1.2495600000000027</v>
      </c>
      <c r="P214" s="4">
        <f t="shared" si="425"/>
        <v>-10.634219999999955</v>
      </c>
    </row>
    <row r="215" spans="1:16" x14ac:dyDescent="0.5">
      <c r="A215" t="s">
        <v>180</v>
      </c>
      <c r="B215" t="str">
        <f t="shared" si="426"/>
        <v>RNG60xERR60xARM40</v>
      </c>
      <c r="C215">
        <v>60</v>
      </c>
      <c r="D215">
        <v>60</v>
      </c>
      <c r="E215">
        <v>40</v>
      </c>
      <c r="F215" t="s">
        <v>175</v>
      </c>
      <c r="G215">
        <v>100000</v>
      </c>
      <c r="H215" s="3">
        <v>51167</v>
      </c>
      <c r="I215" s="3">
        <f t="shared" si="420"/>
        <v>48833</v>
      </c>
      <c r="J215" s="3">
        <v>435363</v>
      </c>
      <c r="K215" s="3">
        <v>424113</v>
      </c>
      <c r="L215" s="9">
        <f t="shared" si="421"/>
        <v>0.51166999999999996</v>
      </c>
      <c r="M215" s="5">
        <f t="shared" si="422"/>
        <v>4.3536299999999999</v>
      </c>
      <c r="N215" s="5">
        <f t="shared" si="423"/>
        <v>4.2411300000000001</v>
      </c>
      <c r="O215" s="5">
        <f t="shared" si="424"/>
        <v>1.6518599999999943</v>
      </c>
      <c r="P215" s="4">
        <f t="shared" si="425"/>
        <v>16.008300000000055</v>
      </c>
    </row>
    <row r="216" spans="1:16" x14ac:dyDescent="0.5">
      <c r="A216" t="s">
        <v>180</v>
      </c>
      <c r="B216" t="str">
        <f t="shared" si="426"/>
        <v>RNG80xERR60xARM40</v>
      </c>
      <c r="C216">
        <v>80</v>
      </c>
      <c r="D216">
        <v>60</v>
      </c>
      <c r="E216">
        <v>40</v>
      </c>
      <c r="F216" t="s">
        <v>175</v>
      </c>
      <c r="G216">
        <v>100000</v>
      </c>
      <c r="H216" s="3">
        <v>51024</v>
      </c>
      <c r="I216" s="3">
        <f t="shared" si="420"/>
        <v>48976</v>
      </c>
      <c r="J216" s="3">
        <v>434083</v>
      </c>
      <c r="K216" s="3">
        <v>424462</v>
      </c>
      <c r="L216" s="9">
        <f t="shared" si="421"/>
        <v>0.51024000000000003</v>
      </c>
      <c r="M216" s="5">
        <f t="shared" si="422"/>
        <v>4.3408300000000004</v>
      </c>
      <c r="N216" s="5">
        <f t="shared" si="423"/>
        <v>4.2446200000000003</v>
      </c>
      <c r="O216" s="5">
        <f t="shared" si="424"/>
        <v>1.4202000000000055</v>
      </c>
      <c r="P216" s="4">
        <f t="shared" si="425"/>
        <v>15.442920000000019</v>
      </c>
    </row>
    <row r="217" spans="1:16" x14ac:dyDescent="0.5">
      <c r="A217" t="s">
        <v>180</v>
      </c>
      <c r="B217" t="str">
        <f t="shared" si="426"/>
        <v>RNG40xERR80xARM40</v>
      </c>
      <c r="C217">
        <v>40</v>
      </c>
      <c r="D217">
        <v>80</v>
      </c>
      <c r="E217">
        <v>40</v>
      </c>
      <c r="F217" t="s">
        <v>175</v>
      </c>
      <c r="G217">
        <v>100000</v>
      </c>
      <c r="H217" s="3">
        <v>49182</v>
      </c>
      <c r="I217" s="3">
        <f t="shared" si="420"/>
        <v>50818</v>
      </c>
      <c r="J217" s="3">
        <v>433590</v>
      </c>
      <c r="K217" s="3">
        <v>441486</v>
      </c>
      <c r="L217" s="9">
        <f t="shared" si="421"/>
        <v>0.49181999999999998</v>
      </c>
      <c r="M217" s="5">
        <f t="shared" si="422"/>
        <v>4.3358999999999996</v>
      </c>
      <c r="N217" s="5">
        <f t="shared" si="423"/>
        <v>4.41486</v>
      </c>
      <c r="O217" s="5">
        <f t="shared" si="424"/>
        <v>-1.5638400000000021</v>
      </c>
      <c r="P217" s="4">
        <f t="shared" si="425"/>
        <v>-12.135959999999937</v>
      </c>
    </row>
    <row r="218" spans="1:16" x14ac:dyDescent="0.5">
      <c r="A218" t="s">
        <v>180</v>
      </c>
      <c r="B218" t="str">
        <f t="shared" si="426"/>
        <v>RNG60xERR80xARM40</v>
      </c>
      <c r="C218">
        <v>60</v>
      </c>
      <c r="D218">
        <v>80</v>
      </c>
      <c r="E218">
        <v>40</v>
      </c>
      <c r="F218" t="s">
        <v>175</v>
      </c>
      <c r="G218">
        <v>100000</v>
      </c>
      <c r="H218" s="3">
        <v>50907</v>
      </c>
      <c r="I218" s="3">
        <f t="shared" si="420"/>
        <v>49093</v>
      </c>
      <c r="J218" s="3">
        <v>433786</v>
      </c>
      <c r="K218" s="3">
        <v>423917</v>
      </c>
      <c r="L218" s="9">
        <f t="shared" si="421"/>
        <v>0.50907000000000002</v>
      </c>
      <c r="M218" s="5">
        <f t="shared" si="422"/>
        <v>4.33786</v>
      </c>
      <c r="N218" s="5">
        <f t="shared" si="423"/>
        <v>4.2391699999999997</v>
      </c>
      <c r="O218" s="5">
        <f t="shared" si="424"/>
        <v>1.2306600000000048</v>
      </c>
      <c r="P218" s="4">
        <f t="shared" si="425"/>
        <v>16.325820000000121</v>
      </c>
    </row>
    <row r="219" spans="1:16" x14ac:dyDescent="0.5">
      <c r="A219" t="s">
        <v>180</v>
      </c>
      <c r="B219" t="str">
        <f t="shared" si="426"/>
        <v>RNG80xERR80xARM40</v>
      </c>
      <c r="C219">
        <v>80</v>
      </c>
      <c r="D219">
        <v>80</v>
      </c>
      <c r="E219">
        <v>40</v>
      </c>
      <c r="F219" t="s">
        <v>175</v>
      </c>
      <c r="G219">
        <v>100000</v>
      </c>
      <c r="H219" s="3">
        <v>51178</v>
      </c>
      <c r="I219" s="3">
        <f t="shared" si="420"/>
        <v>48822</v>
      </c>
      <c r="J219" s="3">
        <v>434132</v>
      </c>
      <c r="K219" s="3">
        <v>424415</v>
      </c>
      <c r="L219" s="9">
        <f t="shared" si="421"/>
        <v>0.51178000000000001</v>
      </c>
      <c r="M219" s="5">
        <f t="shared" si="422"/>
        <v>4.3413199999999996</v>
      </c>
      <c r="N219" s="5">
        <f t="shared" si="423"/>
        <v>4.2441500000000003</v>
      </c>
      <c r="O219" s="5">
        <f t="shared" si="424"/>
        <v>1.6696800000000032</v>
      </c>
      <c r="P219" s="4">
        <f t="shared" si="425"/>
        <v>15.519060000000014</v>
      </c>
    </row>
    <row r="220" spans="1:16" x14ac:dyDescent="0.5">
      <c r="A220" t="s">
        <v>180</v>
      </c>
      <c r="B220" t="str">
        <f>_xlfn.CONCAT("RNG",C220,"xERR",D220,"xARM",E220)</f>
        <v>RNG40xERR40xARM60</v>
      </c>
      <c r="C220">
        <v>40</v>
      </c>
      <c r="D220">
        <v>40</v>
      </c>
      <c r="E220">
        <v>60</v>
      </c>
      <c r="F220" t="s">
        <v>175</v>
      </c>
      <c r="G220">
        <v>100000</v>
      </c>
      <c r="H220" s="3">
        <v>49744</v>
      </c>
      <c r="I220" s="3">
        <f t="shared" si="420"/>
        <v>50256</v>
      </c>
      <c r="J220" s="3">
        <v>435760</v>
      </c>
      <c r="K220" s="3">
        <v>440004</v>
      </c>
      <c r="L220" s="9">
        <f t="shared" si="421"/>
        <v>0.49743999999999999</v>
      </c>
      <c r="M220" s="5">
        <f t="shared" si="422"/>
        <v>4.3575999999999997</v>
      </c>
      <c r="N220" s="5">
        <f t="shared" si="423"/>
        <v>4.4000399999999997</v>
      </c>
      <c r="O220" s="5">
        <f t="shared" si="424"/>
        <v>-0.65339999999999998</v>
      </c>
      <c r="P220" s="4">
        <f t="shared" si="425"/>
        <v>-9.7351199999998919</v>
      </c>
    </row>
    <row r="221" spans="1:16" x14ac:dyDescent="0.5">
      <c r="A221" t="s">
        <v>180</v>
      </c>
      <c r="B221" t="str">
        <f t="shared" ref="B221:B240" si="427">_xlfn.CONCAT("RNG",C221,"xERR",D221,"xARM",E221)</f>
        <v>RNG60xERR40xARM60</v>
      </c>
      <c r="C221">
        <v>60</v>
      </c>
      <c r="D221">
        <v>40</v>
      </c>
      <c r="E221">
        <v>60</v>
      </c>
      <c r="F221" t="s">
        <v>175</v>
      </c>
      <c r="G221">
        <v>100000</v>
      </c>
      <c r="H221" s="3">
        <v>51349</v>
      </c>
      <c r="I221" s="3">
        <f t="shared" si="420"/>
        <v>48651</v>
      </c>
      <c r="J221" s="3">
        <v>433148</v>
      </c>
      <c r="K221" s="3">
        <v>421780</v>
      </c>
      <c r="L221" s="9">
        <f t="shared" si="421"/>
        <v>0.51349</v>
      </c>
      <c r="M221" s="5">
        <f t="shared" si="422"/>
        <v>4.33148</v>
      </c>
      <c r="N221" s="5">
        <f t="shared" si="423"/>
        <v>4.2178000000000004</v>
      </c>
      <c r="O221" s="5">
        <f t="shared" si="424"/>
        <v>1.9467000000000014</v>
      </c>
      <c r="P221" s="4">
        <f t="shared" si="425"/>
        <v>19.787759999999992</v>
      </c>
    </row>
    <row r="222" spans="1:16" x14ac:dyDescent="0.5">
      <c r="A222" t="s">
        <v>180</v>
      </c>
      <c r="B222" t="str">
        <f t="shared" si="427"/>
        <v>RNG80xERR40xARM60</v>
      </c>
      <c r="C222">
        <v>80</v>
      </c>
      <c r="D222">
        <v>40</v>
      </c>
      <c r="E222">
        <v>60</v>
      </c>
      <c r="F222" t="s">
        <v>175</v>
      </c>
      <c r="G222">
        <v>100000</v>
      </c>
      <c r="H222" s="3">
        <v>51256</v>
      </c>
      <c r="I222" s="3">
        <f t="shared" si="420"/>
        <v>48744</v>
      </c>
      <c r="J222" s="3">
        <v>433397</v>
      </c>
      <c r="K222" s="3">
        <v>422943</v>
      </c>
      <c r="L222" s="9">
        <f t="shared" si="421"/>
        <v>0.51256000000000002</v>
      </c>
      <c r="M222" s="5">
        <f t="shared" si="422"/>
        <v>4.3339699999999999</v>
      </c>
      <c r="N222" s="5">
        <f t="shared" si="423"/>
        <v>4.2294299999999998</v>
      </c>
      <c r="O222" s="5">
        <f t="shared" si="424"/>
        <v>1.7960400000000036</v>
      </c>
      <c r="P222" s="4">
        <f t="shared" si="425"/>
        <v>17.903700000000097</v>
      </c>
    </row>
    <row r="223" spans="1:16" x14ac:dyDescent="0.5">
      <c r="A223" t="s">
        <v>180</v>
      </c>
      <c r="B223" t="str">
        <f t="shared" si="427"/>
        <v>RNG40xERR60xARM60</v>
      </c>
      <c r="C223">
        <v>40</v>
      </c>
      <c r="D223">
        <v>60</v>
      </c>
      <c r="E223">
        <v>60</v>
      </c>
      <c r="F223" t="s">
        <v>175</v>
      </c>
      <c r="G223">
        <v>100000</v>
      </c>
      <c r="H223" s="3">
        <v>49362</v>
      </c>
      <c r="I223" s="3">
        <f t="shared" si="420"/>
        <v>50638</v>
      </c>
      <c r="J223" s="3">
        <v>433487</v>
      </c>
      <c r="K223" s="3">
        <v>440242</v>
      </c>
      <c r="L223" s="9">
        <f t="shared" si="421"/>
        <v>0.49362</v>
      </c>
      <c r="M223" s="5">
        <f t="shared" si="422"/>
        <v>4.3348699999999996</v>
      </c>
      <c r="N223" s="5">
        <f t="shared" si="423"/>
        <v>4.4024200000000002</v>
      </c>
      <c r="O223" s="5">
        <f t="shared" si="424"/>
        <v>-1.2722399999999983</v>
      </c>
      <c r="P223" s="4">
        <f t="shared" si="425"/>
        <v>-10.120679999999972</v>
      </c>
    </row>
    <row r="224" spans="1:16" x14ac:dyDescent="0.5">
      <c r="A224" t="s">
        <v>180</v>
      </c>
      <c r="B224" t="str">
        <f t="shared" si="427"/>
        <v>RNG60xERR60xARM60</v>
      </c>
      <c r="C224">
        <v>60</v>
      </c>
      <c r="D224">
        <v>60</v>
      </c>
      <c r="E224">
        <v>60</v>
      </c>
      <c r="F224" t="s">
        <v>175</v>
      </c>
      <c r="G224">
        <v>100000</v>
      </c>
      <c r="H224" s="3">
        <v>51183</v>
      </c>
      <c r="I224" s="3">
        <f t="shared" si="420"/>
        <v>48817</v>
      </c>
      <c r="J224" s="3">
        <v>434098</v>
      </c>
      <c r="K224" s="3">
        <v>421984</v>
      </c>
      <c r="L224" s="9">
        <f t="shared" si="421"/>
        <v>0.51183000000000001</v>
      </c>
      <c r="M224" s="5">
        <f t="shared" si="422"/>
        <v>4.3409800000000001</v>
      </c>
      <c r="N224" s="5">
        <f t="shared" si="423"/>
        <v>4.2198399999999996</v>
      </c>
      <c r="O224" s="5">
        <f t="shared" si="424"/>
        <v>1.6777800000000023</v>
      </c>
      <c r="P224" s="4">
        <f t="shared" si="425"/>
        <v>19.457280000000132</v>
      </c>
    </row>
    <row r="225" spans="1:16" x14ac:dyDescent="0.5">
      <c r="A225" t="s">
        <v>180</v>
      </c>
      <c r="B225" t="str">
        <f t="shared" si="427"/>
        <v>RNG80xERR60xARM60</v>
      </c>
      <c r="C225">
        <v>80</v>
      </c>
      <c r="D225">
        <v>60</v>
      </c>
      <c r="E225">
        <v>60</v>
      </c>
      <c r="F225" t="s">
        <v>175</v>
      </c>
      <c r="G225">
        <v>100000</v>
      </c>
      <c r="H225" s="3">
        <v>51466</v>
      </c>
      <c r="I225" s="3">
        <f t="shared" si="420"/>
        <v>48534</v>
      </c>
      <c r="J225" s="3">
        <v>433902</v>
      </c>
      <c r="K225" s="3">
        <v>421458</v>
      </c>
      <c r="L225" s="9">
        <f t="shared" si="421"/>
        <v>0.51466000000000001</v>
      </c>
      <c r="M225" s="5">
        <f t="shared" si="422"/>
        <v>4.3390199999999997</v>
      </c>
      <c r="N225" s="5">
        <f t="shared" si="423"/>
        <v>4.2145799999999998</v>
      </c>
      <c r="O225" s="5">
        <f t="shared" si="424"/>
        <v>2.1362400000000021</v>
      </c>
      <c r="P225" s="4">
        <f t="shared" si="425"/>
        <v>20.309400000000103</v>
      </c>
    </row>
    <row r="226" spans="1:16" x14ac:dyDescent="0.5">
      <c r="A226" t="s">
        <v>180</v>
      </c>
      <c r="B226" t="str">
        <f t="shared" si="427"/>
        <v>RNG40xERR80xARM60</v>
      </c>
      <c r="C226">
        <v>40</v>
      </c>
      <c r="D226">
        <v>80</v>
      </c>
      <c r="E226">
        <v>60</v>
      </c>
      <c r="F226" t="s">
        <v>175</v>
      </c>
      <c r="G226">
        <v>100000</v>
      </c>
      <c r="H226" s="3">
        <v>49295</v>
      </c>
      <c r="I226" s="3">
        <f t="shared" si="420"/>
        <v>50705</v>
      </c>
      <c r="J226" s="3">
        <v>433834</v>
      </c>
      <c r="K226" s="3">
        <v>440629</v>
      </c>
      <c r="L226" s="9">
        <f t="shared" si="421"/>
        <v>0.49295</v>
      </c>
      <c r="M226" s="5">
        <f t="shared" si="422"/>
        <v>4.3383399999999996</v>
      </c>
      <c r="N226" s="5">
        <f t="shared" si="423"/>
        <v>4.4062900000000003</v>
      </c>
      <c r="O226" s="5">
        <f t="shared" si="424"/>
        <v>-1.380779999999999</v>
      </c>
      <c r="P226" s="4">
        <f t="shared" si="425"/>
        <v>-10.747619999999978</v>
      </c>
    </row>
    <row r="227" spans="1:16" x14ac:dyDescent="0.5">
      <c r="A227" t="s">
        <v>180</v>
      </c>
      <c r="B227" t="str">
        <f t="shared" si="427"/>
        <v>RNG60xERR80xARM60</v>
      </c>
      <c r="C227">
        <v>60</v>
      </c>
      <c r="D227">
        <v>80</v>
      </c>
      <c r="E227">
        <v>60</v>
      </c>
      <c r="F227" t="s">
        <v>175</v>
      </c>
      <c r="G227">
        <v>100000</v>
      </c>
      <c r="H227" s="3">
        <v>51332</v>
      </c>
      <c r="I227" s="3">
        <f t="shared" si="420"/>
        <v>48668</v>
      </c>
      <c r="J227" s="3">
        <v>434667</v>
      </c>
      <c r="K227" s="3">
        <v>422035</v>
      </c>
      <c r="L227" s="9">
        <f t="shared" si="421"/>
        <v>0.51332</v>
      </c>
      <c r="M227" s="5">
        <f t="shared" si="422"/>
        <v>4.3466699999999996</v>
      </c>
      <c r="N227" s="5">
        <f t="shared" si="423"/>
        <v>4.2203499999999998</v>
      </c>
      <c r="O227" s="5">
        <f t="shared" si="424"/>
        <v>1.9191600000000009</v>
      </c>
      <c r="P227" s="4">
        <f t="shared" si="425"/>
        <v>19.374660000000091</v>
      </c>
    </row>
    <row r="228" spans="1:16" x14ac:dyDescent="0.5">
      <c r="A228" t="s">
        <v>180</v>
      </c>
      <c r="B228" t="str">
        <f t="shared" si="427"/>
        <v>RNG80xERR80xARM60</v>
      </c>
      <c r="C228">
        <v>80</v>
      </c>
      <c r="D228">
        <v>80</v>
      </c>
      <c r="E228">
        <v>60</v>
      </c>
      <c r="F228" t="s">
        <v>175</v>
      </c>
      <c r="G228">
        <v>100000</v>
      </c>
      <c r="H228" s="3">
        <v>51139</v>
      </c>
      <c r="I228" s="3">
        <f t="shared" si="420"/>
        <v>48861</v>
      </c>
      <c r="J228" s="3">
        <v>434386</v>
      </c>
      <c r="K228" s="3">
        <v>423590</v>
      </c>
      <c r="L228" s="9">
        <f t="shared" si="421"/>
        <v>0.51139000000000001</v>
      </c>
      <c r="M228" s="5">
        <f t="shared" si="422"/>
        <v>4.3438600000000003</v>
      </c>
      <c r="N228" s="5">
        <f t="shared" si="423"/>
        <v>4.2359</v>
      </c>
      <c r="O228" s="5">
        <f t="shared" si="424"/>
        <v>1.6065000000000029</v>
      </c>
      <c r="P228" s="4">
        <f t="shared" si="425"/>
        <v>16.855560000000064</v>
      </c>
    </row>
    <row r="229" spans="1:16" x14ac:dyDescent="0.5">
      <c r="A229" t="s">
        <v>180</v>
      </c>
      <c r="B229" t="str">
        <f t="shared" si="427"/>
        <v>RNG40xERR40xARM80</v>
      </c>
      <c r="C229">
        <v>40</v>
      </c>
      <c r="D229">
        <v>40</v>
      </c>
      <c r="E229">
        <v>80</v>
      </c>
      <c r="F229" t="s">
        <v>175</v>
      </c>
      <c r="G229">
        <v>100000</v>
      </c>
      <c r="H229" s="3">
        <v>49669</v>
      </c>
      <c r="I229" s="3">
        <f t="shared" si="420"/>
        <v>50331</v>
      </c>
      <c r="J229" s="3">
        <v>432917</v>
      </c>
      <c r="K229" s="3">
        <v>436240</v>
      </c>
      <c r="L229" s="9">
        <f t="shared" si="421"/>
        <v>0.49669000000000002</v>
      </c>
      <c r="M229" s="5">
        <f t="shared" si="422"/>
        <v>4.3291700000000004</v>
      </c>
      <c r="N229" s="5">
        <f t="shared" si="423"/>
        <v>4.3624000000000001</v>
      </c>
      <c r="O229" s="5">
        <f t="shared" si="424"/>
        <v>-0.77489999999999559</v>
      </c>
      <c r="P229" s="4">
        <f t="shared" si="425"/>
        <v>-3.6374399999999447</v>
      </c>
    </row>
    <row r="230" spans="1:16" x14ac:dyDescent="0.5">
      <c r="A230" t="s">
        <v>180</v>
      </c>
      <c r="B230" t="str">
        <f t="shared" si="427"/>
        <v>RNG60xERR40xARM80</v>
      </c>
      <c r="C230">
        <v>60</v>
      </c>
      <c r="D230">
        <v>40</v>
      </c>
      <c r="E230">
        <v>80</v>
      </c>
      <c r="F230" t="s">
        <v>175</v>
      </c>
      <c r="G230">
        <v>100000</v>
      </c>
      <c r="H230" s="3">
        <v>51367</v>
      </c>
      <c r="I230" s="3">
        <f t="shared" si="420"/>
        <v>48633</v>
      </c>
      <c r="J230" s="3">
        <v>434365</v>
      </c>
      <c r="K230" s="3">
        <v>421511</v>
      </c>
      <c r="L230" s="9">
        <f t="shared" si="421"/>
        <v>0.51366999999999996</v>
      </c>
      <c r="M230" s="5">
        <f t="shared" si="422"/>
        <v>4.3436500000000002</v>
      </c>
      <c r="N230" s="5">
        <f t="shared" si="423"/>
        <v>4.2151100000000001</v>
      </c>
      <c r="O230" s="5">
        <f t="shared" si="424"/>
        <v>1.9758599999999946</v>
      </c>
      <c r="P230" s="4">
        <f t="shared" si="425"/>
        <v>20.223540000000042</v>
      </c>
    </row>
    <row r="231" spans="1:16" x14ac:dyDescent="0.5">
      <c r="A231" t="s">
        <v>180</v>
      </c>
      <c r="B231" t="str">
        <f t="shared" si="427"/>
        <v>RNG80xERR40xARM80</v>
      </c>
      <c r="C231">
        <v>80</v>
      </c>
      <c r="D231">
        <v>40</v>
      </c>
      <c r="E231">
        <v>80</v>
      </c>
      <c r="F231" t="s">
        <v>175</v>
      </c>
      <c r="G231">
        <v>100000</v>
      </c>
      <c r="H231" s="3">
        <v>51410</v>
      </c>
      <c r="I231" s="3">
        <f t="shared" si="420"/>
        <v>48590</v>
      </c>
      <c r="J231" s="3">
        <v>434535</v>
      </c>
      <c r="K231" s="3">
        <v>420855</v>
      </c>
      <c r="L231" s="9">
        <f t="shared" si="421"/>
        <v>0.5141</v>
      </c>
      <c r="M231" s="5">
        <f t="shared" si="422"/>
        <v>4.3453499999999998</v>
      </c>
      <c r="N231" s="5">
        <f t="shared" si="423"/>
        <v>4.2085499999999998</v>
      </c>
      <c r="O231" s="5">
        <f t="shared" si="424"/>
        <v>2.0455200000000016</v>
      </c>
      <c r="P231" s="4">
        <f t="shared" si="425"/>
        <v>21.286260000000098</v>
      </c>
    </row>
    <row r="232" spans="1:16" x14ac:dyDescent="0.5">
      <c r="A232" t="s">
        <v>180</v>
      </c>
      <c r="B232" t="str">
        <f t="shared" si="427"/>
        <v>RNG40xERR60xARM80</v>
      </c>
      <c r="C232">
        <v>40</v>
      </c>
      <c r="D232">
        <v>60</v>
      </c>
      <c r="E232">
        <v>80</v>
      </c>
      <c r="F232" t="s">
        <v>175</v>
      </c>
      <c r="G232">
        <v>100000</v>
      </c>
      <c r="H232" s="3">
        <v>49688</v>
      </c>
      <c r="I232" s="3">
        <f t="shared" si="420"/>
        <v>50312</v>
      </c>
      <c r="J232" s="3">
        <v>433912</v>
      </c>
      <c r="K232" s="3">
        <v>438002</v>
      </c>
      <c r="L232" s="9">
        <f t="shared" si="421"/>
        <v>0.49687999999999999</v>
      </c>
      <c r="M232" s="5">
        <f t="shared" si="422"/>
        <v>4.3391200000000003</v>
      </c>
      <c r="N232" s="5">
        <f t="shared" si="423"/>
        <v>4.38002</v>
      </c>
      <c r="O232" s="5">
        <f t="shared" si="424"/>
        <v>-0.74412000000000078</v>
      </c>
      <c r="P232" s="4">
        <f t="shared" si="425"/>
        <v>-6.4918799999999397</v>
      </c>
    </row>
    <row r="233" spans="1:16" x14ac:dyDescent="0.5">
      <c r="A233" t="s">
        <v>180</v>
      </c>
      <c r="B233" t="str">
        <f t="shared" si="427"/>
        <v>RNG60xERR60xARM80</v>
      </c>
      <c r="C233">
        <v>60</v>
      </c>
      <c r="D233">
        <v>60</v>
      </c>
      <c r="E233">
        <v>80</v>
      </c>
      <c r="F233" t="s">
        <v>175</v>
      </c>
      <c r="G233">
        <v>100000</v>
      </c>
      <c r="H233" s="3">
        <v>51408</v>
      </c>
      <c r="I233" s="3">
        <f t="shared" si="420"/>
        <v>48592</v>
      </c>
      <c r="J233" s="3">
        <v>434628</v>
      </c>
      <c r="K233" s="3">
        <v>421041</v>
      </c>
      <c r="L233" s="9">
        <f t="shared" si="421"/>
        <v>0.51407999999999998</v>
      </c>
      <c r="M233" s="5">
        <f t="shared" si="422"/>
        <v>4.3462800000000001</v>
      </c>
      <c r="N233" s="5">
        <f t="shared" si="423"/>
        <v>4.2104100000000004</v>
      </c>
      <c r="O233" s="5">
        <f t="shared" si="424"/>
        <v>2.0422799999999981</v>
      </c>
      <c r="P233" s="4">
        <f t="shared" si="425"/>
        <v>20.984939999999995</v>
      </c>
    </row>
    <row r="234" spans="1:16" x14ac:dyDescent="0.5">
      <c r="A234" t="s">
        <v>180</v>
      </c>
      <c r="B234" t="str">
        <f t="shared" si="427"/>
        <v>RNG80xERR60xARM80</v>
      </c>
      <c r="C234">
        <v>80</v>
      </c>
      <c r="D234">
        <v>60</v>
      </c>
      <c r="E234">
        <v>80</v>
      </c>
      <c r="F234" t="s">
        <v>175</v>
      </c>
      <c r="G234">
        <v>100000</v>
      </c>
      <c r="H234" s="3">
        <v>51110</v>
      </c>
      <c r="I234" s="3">
        <f t="shared" si="420"/>
        <v>48890</v>
      </c>
      <c r="J234" s="3">
        <v>433719</v>
      </c>
      <c r="K234" s="3">
        <v>421348</v>
      </c>
      <c r="L234" s="9">
        <f t="shared" si="421"/>
        <v>0.5111</v>
      </c>
      <c r="M234" s="5">
        <f t="shared" si="422"/>
        <v>4.3371899999999997</v>
      </c>
      <c r="N234" s="5">
        <f t="shared" si="423"/>
        <v>4.2134799999999997</v>
      </c>
      <c r="O234" s="5">
        <f t="shared" si="424"/>
        <v>1.5595200000000009</v>
      </c>
      <c r="P234" s="4">
        <f t="shared" si="425"/>
        <v>20.487600000000118</v>
      </c>
    </row>
    <row r="235" spans="1:16" x14ac:dyDescent="0.5">
      <c r="A235" t="s">
        <v>180</v>
      </c>
      <c r="B235" t="str">
        <f t="shared" si="427"/>
        <v>RNG40xERR80xARM80</v>
      </c>
      <c r="C235">
        <v>40</v>
      </c>
      <c r="D235">
        <v>80</v>
      </c>
      <c r="E235">
        <v>80</v>
      </c>
      <c r="F235" t="s">
        <v>175</v>
      </c>
      <c r="G235">
        <v>100000</v>
      </c>
      <c r="H235" s="3">
        <v>49403</v>
      </c>
      <c r="I235" s="3">
        <f t="shared" si="420"/>
        <v>50597</v>
      </c>
      <c r="J235" s="3">
        <v>433634</v>
      </c>
      <c r="K235" s="3">
        <v>439929</v>
      </c>
      <c r="L235" s="9">
        <f t="shared" si="421"/>
        <v>0.49403000000000002</v>
      </c>
      <c r="M235" s="5">
        <f t="shared" si="422"/>
        <v>4.3363399999999999</v>
      </c>
      <c r="N235" s="5">
        <f t="shared" si="423"/>
        <v>4.3992899999999997</v>
      </c>
      <c r="O235" s="5">
        <f t="shared" si="424"/>
        <v>-1.2058199999999948</v>
      </c>
      <c r="P235" s="4">
        <f t="shared" si="425"/>
        <v>-9.6136199999998873</v>
      </c>
    </row>
    <row r="236" spans="1:16" x14ac:dyDescent="0.5">
      <c r="A236" t="s">
        <v>180</v>
      </c>
      <c r="B236" t="str">
        <f t="shared" si="427"/>
        <v>RNG60xERR80xARM80</v>
      </c>
      <c r="C236">
        <v>60</v>
      </c>
      <c r="D236">
        <v>80</v>
      </c>
      <c r="E236">
        <v>80</v>
      </c>
      <c r="F236" t="s">
        <v>175</v>
      </c>
      <c r="G236">
        <v>100000</v>
      </c>
      <c r="H236" s="3">
        <v>51451</v>
      </c>
      <c r="I236" s="3">
        <f t="shared" si="420"/>
        <v>48549</v>
      </c>
      <c r="J236" s="3">
        <v>434943</v>
      </c>
      <c r="K236" s="3">
        <v>420132</v>
      </c>
      <c r="L236" s="9">
        <f t="shared" si="421"/>
        <v>0.51451000000000002</v>
      </c>
      <c r="M236" s="5">
        <f t="shared" si="422"/>
        <v>4.3494299999999999</v>
      </c>
      <c r="N236" s="5">
        <f t="shared" si="423"/>
        <v>4.2013199999999999</v>
      </c>
      <c r="O236" s="5">
        <f t="shared" si="424"/>
        <v>2.111940000000005</v>
      </c>
      <c r="P236" s="4">
        <f t="shared" si="425"/>
        <v>22.457520000000073</v>
      </c>
    </row>
    <row r="237" spans="1:16" x14ac:dyDescent="0.5">
      <c r="A237" t="s">
        <v>180</v>
      </c>
      <c r="B237" t="str">
        <f t="shared" si="427"/>
        <v>RNG80xERR80xARM80</v>
      </c>
      <c r="C237">
        <v>80</v>
      </c>
      <c r="D237">
        <v>80</v>
      </c>
      <c r="E237">
        <v>80</v>
      </c>
      <c r="F237" t="s">
        <v>175</v>
      </c>
      <c r="G237">
        <v>100000</v>
      </c>
      <c r="H237" s="3">
        <v>51465</v>
      </c>
      <c r="I237" s="3">
        <f t="shared" si="420"/>
        <v>48535</v>
      </c>
      <c r="J237" s="3">
        <v>434361</v>
      </c>
      <c r="K237" s="3">
        <v>420558</v>
      </c>
      <c r="L237" s="9">
        <f t="shared" si="421"/>
        <v>0.51465000000000005</v>
      </c>
      <c r="M237" s="5">
        <f t="shared" si="422"/>
        <v>4.34361</v>
      </c>
      <c r="N237" s="5">
        <f t="shared" si="423"/>
        <v>4.2055800000000003</v>
      </c>
      <c r="O237" s="5">
        <f t="shared" si="424"/>
        <v>2.1346200000000097</v>
      </c>
      <c r="P237" s="4">
        <f t="shared" si="425"/>
        <v>21.767400000000013</v>
      </c>
    </row>
    <row r="238" spans="1:16" x14ac:dyDescent="0.5">
      <c r="A238" t="s">
        <v>180</v>
      </c>
      <c r="B238" t="str">
        <f t="shared" si="427"/>
        <v>RNG45xERR60xARM60</v>
      </c>
      <c r="C238">
        <v>45</v>
      </c>
      <c r="D238">
        <v>60</v>
      </c>
      <c r="E238">
        <v>60</v>
      </c>
      <c r="F238" t="s">
        <v>175</v>
      </c>
      <c r="G238">
        <v>100000</v>
      </c>
      <c r="H238" s="3">
        <v>49623</v>
      </c>
      <c r="I238" s="3">
        <f t="shared" si="420"/>
        <v>50377</v>
      </c>
      <c r="J238" s="3">
        <v>433552</v>
      </c>
      <c r="K238" s="3">
        <v>438316</v>
      </c>
      <c r="L238" s="9">
        <f t="shared" ref="L238:L240" si="428">H238/G238</f>
        <v>0.49623</v>
      </c>
      <c r="M238" s="5">
        <f t="shared" ref="M238:M240" si="429">J238/G238</f>
        <v>4.3355199999999998</v>
      </c>
      <c r="N238" s="5">
        <f t="shared" ref="N238:N240" si="430">K238/G238</f>
        <v>4.3831600000000002</v>
      </c>
      <c r="O238" s="5">
        <f t="shared" ref="O238:O240" si="431">(L238-$L$7)*162</f>
        <v>-0.84941999999999818</v>
      </c>
      <c r="P238" s="4">
        <f t="shared" ref="P238:P240" si="432">-(N238-$N$7)*162</f>
        <v>-7.0005599999999628</v>
      </c>
    </row>
    <row r="239" spans="1:16" x14ac:dyDescent="0.5">
      <c r="A239" t="s">
        <v>180</v>
      </c>
      <c r="B239" t="str">
        <f t="shared" si="427"/>
        <v>RNG50xERR60xARM60</v>
      </c>
      <c r="C239">
        <v>50</v>
      </c>
      <c r="D239">
        <v>60</v>
      </c>
      <c r="E239">
        <v>60</v>
      </c>
      <c r="F239" t="s">
        <v>175</v>
      </c>
      <c r="G239">
        <v>100000</v>
      </c>
      <c r="H239" s="3">
        <v>50037</v>
      </c>
      <c r="I239" s="3">
        <f t="shared" si="420"/>
        <v>49963</v>
      </c>
      <c r="J239" s="3">
        <v>434374</v>
      </c>
      <c r="K239" s="3">
        <v>434772</v>
      </c>
      <c r="L239" s="9">
        <f t="shared" si="428"/>
        <v>0.50036999999999998</v>
      </c>
      <c r="M239" s="5">
        <f t="shared" si="429"/>
        <v>4.3437400000000004</v>
      </c>
      <c r="N239" s="5">
        <f t="shared" si="430"/>
        <v>4.3477199999999998</v>
      </c>
      <c r="O239" s="5">
        <f t="shared" si="431"/>
        <v>-0.1787400000000019</v>
      </c>
      <c r="P239" s="4">
        <f t="shared" si="432"/>
        <v>-1.2592799999999045</v>
      </c>
    </row>
    <row r="240" spans="1:16" x14ac:dyDescent="0.5">
      <c r="A240" t="s">
        <v>180</v>
      </c>
      <c r="B240" t="str">
        <f t="shared" si="427"/>
        <v>RNG55xERR60xARM60</v>
      </c>
      <c r="C240">
        <v>55</v>
      </c>
      <c r="D240">
        <v>60</v>
      </c>
      <c r="E240">
        <v>60</v>
      </c>
      <c r="F240" t="s">
        <v>175</v>
      </c>
      <c r="G240">
        <v>100000</v>
      </c>
      <c r="H240" s="3">
        <v>51084</v>
      </c>
      <c r="I240" s="3">
        <f t="shared" si="420"/>
        <v>48916</v>
      </c>
      <c r="J240" s="3">
        <v>433456</v>
      </c>
      <c r="K240" s="3">
        <v>423243</v>
      </c>
      <c r="L240" s="9">
        <f t="shared" si="428"/>
        <v>0.51083999999999996</v>
      </c>
      <c r="M240" s="5">
        <f t="shared" si="429"/>
        <v>4.3345599999999997</v>
      </c>
      <c r="N240" s="5">
        <f t="shared" si="430"/>
        <v>4.2324299999999999</v>
      </c>
      <c r="O240" s="5">
        <f t="shared" si="431"/>
        <v>1.5173999999999948</v>
      </c>
      <c r="P240" s="4">
        <f t="shared" si="432"/>
        <v>17.417700000000078</v>
      </c>
    </row>
    <row r="241" spans="1:16" x14ac:dyDescent="0.5">
      <c r="A241" s="23" t="s">
        <v>182</v>
      </c>
      <c r="B241" s="18" t="s">
        <v>165</v>
      </c>
      <c r="C241" s="18">
        <v>50</v>
      </c>
      <c r="D241" s="18">
        <v>55</v>
      </c>
      <c r="E241" s="18">
        <v>55</v>
      </c>
      <c r="F241" s="18" t="s">
        <v>175</v>
      </c>
      <c r="G241" s="18">
        <v>100000</v>
      </c>
      <c r="H241" s="19">
        <v>50147.333333333336</v>
      </c>
      <c r="I241" s="19">
        <v>49852.666666666664</v>
      </c>
      <c r="J241" s="19">
        <v>434431.33333333331</v>
      </c>
      <c r="K241" s="19">
        <v>433994.66666666669</v>
      </c>
      <c r="L241" s="20">
        <v>0.50147333333333333</v>
      </c>
      <c r="M241" s="21">
        <v>4.344313333333333</v>
      </c>
      <c r="N241" s="21">
        <v>4.3399466666666671</v>
      </c>
      <c r="O241" s="21" t="s">
        <v>50</v>
      </c>
      <c r="P241" s="22" t="s">
        <v>50</v>
      </c>
    </row>
    <row r="242" spans="1:16" x14ac:dyDescent="0.5">
      <c r="A242" t="s">
        <v>182</v>
      </c>
      <c r="B242" t="str">
        <f>_xlfn.CONCAT("RNG",C242,"xERR",D242,"xARM",E242)</f>
        <v>RNG40xERR40xARM40</v>
      </c>
      <c r="C242">
        <v>40</v>
      </c>
      <c r="D242">
        <v>40</v>
      </c>
      <c r="E242">
        <v>40</v>
      </c>
      <c r="F242" t="s">
        <v>175</v>
      </c>
      <c r="G242">
        <v>100000</v>
      </c>
      <c r="H242" s="3">
        <v>48546</v>
      </c>
      <c r="I242" s="3">
        <f t="shared" ref="I242:I271" si="433">G242-H242</f>
        <v>51454</v>
      </c>
      <c r="J242" s="3">
        <v>434384</v>
      </c>
      <c r="K242" s="3">
        <v>448603</v>
      </c>
      <c r="L242" s="9">
        <f t="shared" ref="L242:L271" si="434">H242/G242</f>
        <v>0.48546</v>
      </c>
      <c r="M242" s="5">
        <f t="shared" ref="M242:M271" si="435">J242/G242</f>
        <v>4.3438400000000001</v>
      </c>
      <c r="N242" s="5">
        <f t="shared" ref="N242:N271" si="436">K242/G242</f>
        <v>4.4860300000000004</v>
      </c>
      <c r="O242" s="5">
        <f t="shared" ref="O242:O271" si="437">(L242-$L$7)*162</f>
        <v>-2.5941599999999987</v>
      </c>
      <c r="P242" s="4">
        <f t="shared" ref="P242:P271" si="438">-(N242-$N$7)*162</f>
        <v>-23.665500000000002</v>
      </c>
    </row>
    <row r="243" spans="1:16" x14ac:dyDescent="0.5">
      <c r="A243" t="s">
        <v>182</v>
      </c>
      <c r="B243" t="str">
        <f t="shared" ref="B243:B250" si="439">_xlfn.CONCAT("RNG",C243,"xERR",D243,"xARM",E243)</f>
        <v>RNG60xERR40xARM40</v>
      </c>
      <c r="C243">
        <v>60</v>
      </c>
      <c r="D243">
        <v>40</v>
      </c>
      <c r="E243">
        <v>40</v>
      </c>
      <c r="F243" t="s">
        <v>175</v>
      </c>
      <c r="G243">
        <v>100000</v>
      </c>
      <c r="H243" s="3">
        <v>51945</v>
      </c>
      <c r="I243" s="3">
        <f t="shared" si="433"/>
        <v>48055</v>
      </c>
      <c r="J243" s="3">
        <v>435087</v>
      </c>
      <c r="K243" s="3">
        <v>418202</v>
      </c>
      <c r="L243" s="9">
        <f t="shared" si="434"/>
        <v>0.51944999999999997</v>
      </c>
      <c r="M243" s="5">
        <f t="shared" si="435"/>
        <v>4.3508699999999996</v>
      </c>
      <c r="N243" s="5">
        <f t="shared" si="436"/>
        <v>4.1820199999999996</v>
      </c>
      <c r="O243" s="5">
        <f t="shared" si="437"/>
        <v>2.912219999999996</v>
      </c>
      <c r="P243" s="4">
        <f t="shared" si="438"/>
        <v>25.584120000000127</v>
      </c>
    </row>
    <row r="244" spans="1:16" x14ac:dyDescent="0.5">
      <c r="A244" t="s">
        <v>182</v>
      </c>
      <c r="B244" t="str">
        <f t="shared" si="439"/>
        <v>RNG80xERR40xARM40</v>
      </c>
      <c r="C244">
        <v>80</v>
      </c>
      <c r="D244">
        <v>40</v>
      </c>
      <c r="E244">
        <v>40</v>
      </c>
      <c r="F244" t="s">
        <v>175</v>
      </c>
      <c r="G244">
        <v>100000</v>
      </c>
      <c r="H244" s="3">
        <v>51448</v>
      </c>
      <c r="I244" s="3">
        <f t="shared" si="433"/>
        <v>48552</v>
      </c>
      <c r="J244" s="3">
        <v>434585</v>
      </c>
      <c r="K244" s="3">
        <v>419805</v>
      </c>
      <c r="L244" s="9">
        <f t="shared" si="434"/>
        <v>0.51448000000000005</v>
      </c>
      <c r="M244" s="5">
        <f t="shared" si="435"/>
        <v>4.3458500000000004</v>
      </c>
      <c r="N244" s="5">
        <f t="shared" si="436"/>
        <v>4.1980500000000003</v>
      </c>
      <c r="O244" s="5">
        <f t="shared" si="437"/>
        <v>2.1070800000000087</v>
      </c>
      <c r="P244" s="4">
        <f t="shared" si="438"/>
        <v>22.98726000000002</v>
      </c>
    </row>
    <row r="245" spans="1:16" x14ac:dyDescent="0.5">
      <c r="A245" t="s">
        <v>182</v>
      </c>
      <c r="B245" t="str">
        <f t="shared" si="439"/>
        <v>RNG40xERR60xARM40</v>
      </c>
      <c r="C245">
        <v>40</v>
      </c>
      <c r="D245">
        <v>60</v>
      </c>
      <c r="E245">
        <v>40</v>
      </c>
      <c r="F245" t="s">
        <v>175</v>
      </c>
      <c r="G245">
        <v>100000</v>
      </c>
      <c r="H245" s="3">
        <v>48559</v>
      </c>
      <c r="I245" s="3">
        <f t="shared" si="433"/>
        <v>51441</v>
      </c>
      <c r="J245" s="3">
        <v>434128</v>
      </c>
      <c r="K245" s="3">
        <v>447846</v>
      </c>
      <c r="L245" s="9">
        <f t="shared" si="434"/>
        <v>0.48559000000000002</v>
      </c>
      <c r="M245" s="5">
        <f t="shared" si="435"/>
        <v>4.3412800000000002</v>
      </c>
      <c r="N245" s="5">
        <f t="shared" si="436"/>
        <v>4.4784600000000001</v>
      </c>
      <c r="O245" s="5">
        <f t="shared" si="437"/>
        <v>-2.5730999999999953</v>
      </c>
      <c r="P245" s="4">
        <f t="shared" si="438"/>
        <v>-22.439159999999951</v>
      </c>
    </row>
    <row r="246" spans="1:16" x14ac:dyDescent="0.5">
      <c r="A246" t="s">
        <v>182</v>
      </c>
      <c r="B246" t="str">
        <f t="shared" si="439"/>
        <v>RNG60xERR60xARM40</v>
      </c>
      <c r="C246">
        <v>60</v>
      </c>
      <c r="D246">
        <v>60</v>
      </c>
      <c r="E246">
        <v>40</v>
      </c>
      <c r="F246" t="s">
        <v>175</v>
      </c>
      <c r="G246">
        <v>100000</v>
      </c>
      <c r="H246" s="3">
        <v>51847</v>
      </c>
      <c r="I246" s="3">
        <f t="shared" si="433"/>
        <v>48153</v>
      </c>
      <c r="J246" s="3">
        <v>434534</v>
      </c>
      <c r="K246" s="3">
        <v>416136</v>
      </c>
      <c r="L246" s="9">
        <f t="shared" si="434"/>
        <v>0.51846999999999999</v>
      </c>
      <c r="M246" s="5">
        <f t="shared" si="435"/>
        <v>4.3453400000000002</v>
      </c>
      <c r="N246" s="5">
        <f t="shared" si="436"/>
        <v>4.1613600000000002</v>
      </c>
      <c r="O246" s="5">
        <f t="shared" si="437"/>
        <v>2.7534599999999987</v>
      </c>
      <c r="P246" s="4">
        <f t="shared" si="438"/>
        <v>28.931040000000039</v>
      </c>
    </row>
    <row r="247" spans="1:16" x14ac:dyDescent="0.5">
      <c r="A247" t="s">
        <v>182</v>
      </c>
      <c r="B247" t="str">
        <f t="shared" si="439"/>
        <v>RNG80xERR60xARM40</v>
      </c>
      <c r="C247">
        <v>80</v>
      </c>
      <c r="D247">
        <v>60</v>
      </c>
      <c r="E247">
        <v>40</v>
      </c>
      <c r="F247" t="s">
        <v>175</v>
      </c>
      <c r="G247">
        <v>100000</v>
      </c>
      <c r="H247" s="3">
        <v>51735</v>
      </c>
      <c r="I247" s="3">
        <f t="shared" si="433"/>
        <v>48265</v>
      </c>
      <c r="J247" s="3">
        <v>434635</v>
      </c>
      <c r="K247" s="3">
        <v>418441</v>
      </c>
      <c r="L247" s="9">
        <f t="shared" si="434"/>
        <v>0.51734999999999998</v>
      </c>
      <c r="M247" s="5">
        <f t="shared" si="435"/>
        <v>4.3463500000000002</v>
      </c>
      <c r="N247" s="5">
        <f t="shared" si="436"/>
        <v>4.1844099999999997</v>
      </c>
      <c r="O247" s="5">
        <f t="shared" si="437"/>
        <v>2.5720199999999975</v>
      </c>
      <c r="P247" s="4">
        <f t="shared" si="438"/>
        <v>25.196940000000104</v>
      </c>
    </row>
    <row r="248" spans="1:16" x14ac:dyDescent="0.5">
      <c r="A248" t="s">
        <v>182</v>
      </c>
      <c r="B248" t="str">
        <f t="shared" si="439"/>
        <v>RNG40xERR80xARM40</v>
      </c>
      <c r="C248">
        <v>40</v>
      </c>
      <c r="D248">
        <v>80</v>
      </c>
      <c r="E248">
        <v>40</v>
      </c>
      <c r="F248" t="s">
        <v>175</v>
      </c>
      <c r="G248">
        <v>100000</v>
      </c>
      <c r="H248" s="3">
        <v>48590</v>
      </c>
      <c r="I248" s="3">
        <f t="shared" si="433"/>
        <v>51410</v>
      </c>
      <c r="J248" s="3">
        <v>433628</v>
      </c>
      <c r="K248" s="3">
        <v>448453</v>
      </c>
      <c r="L248" s="9">
        <f t="shared" si="434"/>
        <v>0.4859</v>
      </c>
      <c r="M248" s="5">
        <f t="shared" si="435"/>
        <v>4.3362800000000004</v>
      </c>
      <c r="N248" s="5">
        <f t="shared" si="436"/>
        <v>4.4845300000000003</v>
      </c>
      <c r="O248" s="5">
        <f t="shared" si="437"/>
        <v>-2.5228799999999989</v>
      </c>
      <c r="P248" s="4">
        <f t="shared" si="438"/>
        <v>-23.422499999999992</v>
      </c>
    </row>
    <row r="249" spans="1:16" x14ac:dyDescent="0.5">
      <c r="A249" t="s">
        <v>182</v>
      </c>
      <c r="B249" t="str">
        <f t="shared" si="439"/>
        <v>RNG60xERR80xARM40</v>
      </c>
      <c r="C249">
        <v>60</v>
      </c>
      <c r="D249">
        <v>80</v>
      </c>
      <c r="E249">
        <v>40</v>
      </c>
      <c r="F249" t="s">
        <v>175</v>
      </c>
      <c r="G249">
        <v>100000</v>
      </c>
      <c r="H249" s="3">
        <v>51856</v>
      </c>
      <c r="I249" s="3">
        <f t="shared" si="433"/>
        <v>48144</v>
      </c>
      <c r="J249" s="3">
        <v>433684</v>
      </c>
      <c r="K249" s="3">
        <v>416569</v>
      </c>
      <c r="L249" s="9">
        <f t="shared" si="434"/>
        <v>0.51856000000000002</v>
      </c>
      <c r="M249" s="5">
        <f t="shared" si="435"/>
        <v>4.3368399999999996</v>
      </c>
      <c r="N249" s="5">
        <f t="shared" si="436"/>
        <v>4.1656899999999997</v>
      </c>
      <c r="O249" s="5">
        <f t="shared" si="437"/>
        <v>2.7680400000000045</v>
      </c>
      <c r="P249" s="4">
        <f t="shared" si="438"/>
        <v>28.229580000000119</v>
      </c>
    </row>
    <row r="250" spans="1:16" x14ac:dyDescent="0.5">
      <c r="A250" t="s">
        <v>182</v>
      </c>
      <c r="B250" t="str">
        <f t="shared" si="439"/>
        <v>RNG80xERR80xARM40</v>
      </c>
      <c r="C250">
        <v>80</v>
      </c>
      <c r="D250">
        <v>80</v>
      </c>
      <c r="E250">
        <v>40</v>
      </c>
      <c r="F250" t="s">
        <v>175</v>
      </c>
      <c r="G250">
        <v>100000</v>
      </c>
      <c r="H250" s="3">
        <v>51640</v>
      </c>
      <c r="I250" s="3">
        <f t="shared" si="433"/>
        <v>48360</v>
      </c>
      <c r="J250" s="3">
        <v>434297</v>
      </c>
      <c r="K250" s="3">
        <v>418439</v>
      </c>
      <c r="L250" s="9">
        <f t="shared" si="434"/>
        <v>0.51639999999999997</v>
      </c>
      <c r="M250" s="5">
        <f t="shared" si="435"/>
        <v>4.3429700000000002</v>
      </c>
      <c r="N250" s="5">
        <f t="shared" si="436"/>
        <v>4.1843899999999996</v>
      </c>
      <c r="O250" s="5">
        <f t="shared" si="437"/>
        <v>2.4181199999999965</v>
      </c>
      <c r="P250" s="4">
        <f t="shared" si="438"/>
        <v>25.200180000000127</v>
      </c>
    </row>
    <row r="251" spans="1:16" x14ac:dyDescent="0.5">
      <c r="A251" t="s">
        <v>182</v>
      </c>
      <c r="B251" t="str">
        <f>_xlfn.CONCAT("RNG",C251,"xERR",D251,"xARM",E251)</f>
        <v>RNG40xERR40xARM60</v>
      </c>
      <c r="C251">
        <v>40</v>
      </c>
      <c r="D251">
        <v>40</v>
      </c>
      <c r="E251">
        <v>60</v>
      </c>
      <c r="F251" t="s">
        <v>175</v>
      </c>
      <c r="G251">
        <v>100000</v>
      </c>
      <c r="H251" s="3">
        <v>49378</v>
      </c>
      <c r="I251" s="3">
        <f t="shared" si="433"/>
        <v>50622</v>
      </c>
      <c r="J251" s="3">
        <v>434784</v>
      </c>
      <c r="K251" s="3">
        <v>442157</v>
      </c>
      <c r="L251" s="9">
        <f t="shared" si="434"/>
        <v>0.49378</v>
      </c>
      <c r="M251" s="5">
        <f t="shared" si="435"/>
        <v>4.3478399999999997</v>
      </c>
      <c r="N251" s="5">
        <f t="shared" si="436"/>
        <v>4.42157</v>
      </c>
      <c r="O251" s="5">
        <f t="shared" si="437"/>
        <v>-1.2463199999999994</v>
      </c>
      <c r="P251" s="4">
        <f t="shared" si="438"/>
        <v>-13.222979999999936</v>
      </c>
    </row>
    <row r="252" spans="1:16" x14ac:dyDescent="0.5">
      <c r="A252" t="s">
        <v>182</v>
      </c>
      <c r="B252" t="str">
        <f t="shared" ref="B252:B271" si="440">_xlfn.CONCAT("RNG",C252,"xERR",D252,"xARM",E252)</f>
        <v>RNG60xERR40xARM60</v>
      </c>
      <c r="C252">
        <v>60</v>
      </c>
      <c r="D252">
        <v>40</v>
      </c>
      <c r="E252">
        <v>60</v>
      </c>
      <c r="F252" t="s">
        <v>175</v>
      </c>
      <c r="G252">
        <v>100000</v>
      </c>
      <c r="H252" s="3">
        <v>52260</v>
      </c>
      <c r="I252" s="3">
        <f t="shared" si="433"/>
        <v>47740</v>
      </c>
      <c r="J252" s="3">
        <v>433952</v>
      </c>
      <c r="K252" s="3">
        <v>412257</v>
      </c>
      <c r="L252" s="9">
        <f t="shared" si="434"/>
        <v>0.52259999999999995</v>
      </c>
      <c r="M252" s="5">
        <f t="shared" si="435"/>
        <v>4.3395200000000003</v>
      </c>
      <c r="N252" s="5">
        <f t="shared" si="436"/>
        <v>4.1225699999999996</v>
      </c>
      <c r="O252" s="5">
        <f t="shared" si="437"/>
        <v>3.4225199999999933</v>
      </c>
      <c r="P252" s="4">
        <f t="shared" si="438"/>
        <v>35.215020000000123</v>
      </c>
    </row>
    <row r="253" spans="1:16" x14ac:dyDescent="0.5">
      <c r="A253" t="s">
        <v>182</v>
      </c>
      <c r="B253" t="str">
        <f t="shared" si="440"/>
        <v>RNG80xERR40xARM60</v>
      </c>
      <c r="C253">
        <v>80</v>
      </c>
      <c r="D253">
        <v>40</v>
      </c>
      <c r="E253">
        <v>60</v>
      </c>
      <c r="F253" t="s">
        <v>175</v>
      </c>
      <c r="G253">
        <v>100000</v>
      </c>
      <c r="H253" s="3">
        <v>52287</v>
      </c>
      <c r="I253" s="3">
        <f t="shared" si="433"/>
        <v>47713</v>
      </c>
      <c r="J253" s="3">
        <v>435642</v>
      </c>
      <c r="K253" s="3">
        <v>413896</v>
      </c>
      <c r="L253" s="9">
        <f t="shared" si="434"/>
        <v>0.52286999999999995</v>
      </c>
      <c r="M253" s="5">
        <f t="shared" si="435"/>
        <v>4.35642</v>
      </c>
      <c r="N253" s="5">
        <f t="shared" si="436"/>
        <v>4.13896</v>
      </c>
      <c r="O253" s="5">
        <f t="shared" si="437"/>
        <v>3.4662599999999921</v>
      </c>
      <c r="P253" s="4">
        <f t="shared" si="438"/>
        <v>32.559840000000065</v>
      </c>
    </row>
    <row r="254" spans="1:16" x14ac:dyDescent="0.5">
      <c r="A254" t="s">
        <v>182</v>
      </c>
      <c r="B254" t="str">
        <f t="shared" si="440"/>
        <v>RNG40xERR60xARM60</v>
      </c>
      <c r="C254">
        <v>40</v>
      </c>
      <c r="D254">
        <v>60</v>
      </c>
      <c r="E254">
        <v>60</v>
      </c>
      <c r="F254" t="s">
        <v>175</v>
      </c>
      <c r="G254">
        <v>100000</v>
      </c>
      <c r="H254" s="3">
        <v>48944</v>
      </c>
      <c r="I254" s="3">
        <f t="shared" si="433"/>
        <v>51056</v>
      </c>
      <c r="J254" s="3">
        <v>434412</v>
      </c>
      <c r="K254" s="3">
        <v>444126</v>
      </c>
      <c r="L254" s="9">
        <f t="shared" si="434"/>
        <v>0.48943999999999999</v>
      </c>
      <c r="M254" s="5">
        <f t="shared" si="435"/>
        <v>4.3441200000000002</v>
      </c>
      <c r="N254" s="5">
        <f t="shared" si="436"/>
        <v>4.4412599999999998</v>
      </c>
      <c r="O254" s="5">
        <f t="shared" si="437"/>
        <v>-1.9494000000000011</v>
      </c>
      <c r="P254" s="4">
        <f t="shared" si="438"/>
        <v>-16.412759999999899</v>
      </c>
    </row>
    <row r="255" spans="1:16" x14ac:dyDescent="0.5">
      <c r="A255" t="s">
        <v>182</v>
      </c>
      <c r="B255" t="str">
        <f t="shared" si="440"/>
        <v>RNG60xERR60xARM60</v>
      </c>
      <c r="C255">
        <v>60</v>
      </c>
      <c r="D255">
        <v>60</v>
      </c>
      <c r="E255">
        <v>60</v>
      </c>
      <c r="F255" t="s">
        <v>175</v>
      </c>
      <c r="G255">
        <v>100000</v>
      </c>
      <c r="H255" s="3">
        <v>52315</v>
      </c>
      <c r="I255" s="3">
        <f t="shared" si="433"/>
        <v>47685</v>
      </c>
      <c r="J255" s="3">
        <v>432943</v>
      </c>
      <c r="K255" s="3">
        <v>411434</v>
      </c>
      <c r="L255" s="9">
        <f t="shared" si="434"/>
        <v>0.52315</v>
      </c>
      <c r="M255" s="5">
        <f t="shared" si="435"/>
        <v>4.3294300000000003</v>
      </c>
      <c r="N255" s="5">
        <f t="shared" si="436"/>
        <v>4.1143400000000003</v>
      </c>
      <c r="O255" s="5">
        <f t="shared" si="437"/>
        <v>3.5116200000000015</v>
      </c>
      <c r="P255" s="4">
        <f t="shared" si="438"/>
        <v>36.548280000000013</v>
      </c>
    </row>
    <row r="256" spans="1:16" x14ac:dyDescent="0.5">
      <c r="A256" t="s">
        <v>182</v>
      </c>
      <c r="B256" t="str">
        <f t="shared" si="440"/>
        <v>RNG80xERR60xARM60</v>
      </c>
      <c r="C256">
        <v>80</v>
      </c>
      <c r="D256">
        <v>60</v>
      </c>
      <c r="E256">
        <v>60</v>
      </c>
      <c r="F256" t="s">
        <v>175</v>
      </c>
      <c r="G256">
        <v>100000</v>
      </c>
      <c r="H256" s="3">
        <v>51875</v>
      </c>
      <c r="I256" s="3">
        <f t="shared" si="433"/>
        <v>48125</v>
      </c>
      <c r="J256" s="3">
        <v>432650</v>
      </c>
      <c r="K256" s="3">
        <v>414873</v>
      </c>
      <c r="L256" s="9">
        <f t="shared" si="434"/>
        <v>0.51875000000000004</v>
      </c>
      <c r="M256" s="5">
        <f t="shared" si="435"/>
        <v>4.3265000000000002</v>
      </c>
      <c r="N256" s="5">
        <f t="shared" si="436"/>
        <v>4.1487299999999996</v>
      </c>
      <c r="O256" s="5">
        <f t="shared" si="437"/>
        <v>2.7988200000000081</v>
      </c>
      <c r="P256" s="4">
        <f t="shared" si="438"/>
        <v>30.977100000000132</v>
      </c>
    </row>
    <row r="257" spans="1:16" x14ac:dyDescent="0.5">
      <c r="A257" t="s">
        <v>182</v>
      </c>
      <c r="B257" t="str">
        <f t="shared" si="440"/>
        <v>RNG40xERR80xARM60</v>
      </c>
      <c r="C257">
        <v>40</v>
      </c>
      <c r="D257">
        <v>80</v>
      </c>
      <c r="E257">
        <v>60</v>
      </c>
      <c r="F257" t="s">
        <v>175</v>
      </c>
      <c r="G257">
        <v>100000</v>
      </c>
      <c r="H257" s="3">
        <v>49123</v>
      </c>
      <c r="I257" s="3">
        <f t="shared" si="433"/>
        <v>50877</v>
      </c>
      <c r="J257" s="3">
        <v>433697</v>
      </c>
      <c r="K257" s="3">
        <v>442005</v>
      </c>
      <c r="L257" s="9">
        <f t="shared" si="434"/>
        <v>0.49123</v>
      </c>
      <c r="M257" s="5">
        <f t="shared" si="435"/>
        <v>4.33697</v>
      </c>
      <c r="N257" s="5">
        <f t="shared" si="436"/>
        <v>4.4200499999999998</v>
      </c>
      <c r="O257" s="5">
        <f t="shared" si="437"/>
        <v>-1.659419999999999</v>
      </c>
      <c r="P257" s="4">
        <f t="shared" si="438"/>
        <v>-12.976739999999905</v>
      </c>
    </row>
    <row r="258" spans="1:16" x14ac:dyDescent="0.5">
      <c r="A258" t="s">
        <v>182</v>
      </c>
      <c r="B258" t="str">
        <f t="shared" si="440"/>
        <v>RNG60xERR80xARM60</v>
      </c>
      <c r="C258">
        <v>60</v>
      </c>
      <c r="D258">
        <v>80</v>
      </c>
      <c r="E258">
        <v>60</v>
      </c>
      <c r="F258" t="s">
        <v>175</v>
      </c>
      <c r="G258">
        <v>100000</v>
      </c>
      <c r="H258" s="3">
        <v>52229</v>
      </c>
      <c r="I258" s="3">
        <f t="shared" si="433"/>
        <v>47771</v>
      </c>
      <c r="J258" s="3">
        <v>433565</v>
      </c>
      <c r="K258" s="3">
        <v>410628</v>
      </c>
      <c r="L258" s="9">
        <f t="shared" si="434"/>
        <v>0.52229000000000003</v>
      </c>
      <c r="M258" s="5">
        <f t="shared" si="435"/>
        <v>4.3356500000000002</v>
      </c>
      <c r="N258" s="5">
        <f t="shared" si="436"/>
        <v>4.1062799999999999</v>
      </c>
      <c r="O258" s="5">
        <f t="shared" si="437"/>
        <v>3.3723000000000063</v>
      </c>
      <c r="P258" s="4">
        <f t="shared" si="438"/>
        <v>37.854000000000077</v>
      </c>
    </row>
    <row r="259" spans="1:16" x14ac:dyDescent="0.5">
      <c r="A259" t="s">
        <v>182</v>
      </c>
      <c r="B259" t="str">
        <f t="shared" si="440"/>
        <v>RNG80xERR80xARM60</v>
      </c>
      <c r="C259">
        <v>80</v>
      </c>
      <c r="D259">
        <v>80</v>
      </c>
      <c r="E259">
        <v>60</v>
      </c>
      <c r="F259" t="s">
        <v>175</v>
      </c>
      <c r="G259">
        <v>100000</v>
      </c>
      <c r="H259" s="3">
        <v>52352</v>
      </c>
      <c r="I259" s="3">
        <f t="shared" si="433"/>
        <v>47648</v>
      </c>
      <c r="J259" s="3">
        <v>434206</v>
      </c>
      <c r="K259" s="3">
        <v>412260</v>
      </c>
      <c r="L259" s="9">
        <f t="shared" si="434"/>
        <v>0.52351999999999999</v>
      </c>
      <c r="M259" s="5">
        <f t="shared" si="435"/>
        <v>4.34206</v>
      </c>
      <c r="N259" s="5">
        <f t="shared" si="436"/>
        <v>4.1226000000000003</v>
      </c>
      <c r="O259" s="5">
        <f t="shared" si="437"/>
        <v>3.571559999999999</v>
      </c>
      <c r="P259" s="4">
        <f t="shared" si="438"/>
        <v>35.210160000000023</v>
      </c>
    </row>
    <row r="260" spans="1:16" x14ac:dyDescent="0.5">
      <c r="A260" t="s">
        <v>182</v>
      </c>
      <c r="B260" t="str">
        <f t="shared" si="440"/>
        <v>RNG40xERR40xARM80</v>
      </c>
      <c r="C260">
        <v>40</v>
      </c>
      <c r="D260">
        <v>40</v>
      </c>
      <c r="E260">
        <v>80</v>
      </c>
      <c r="F260" t="s">
        <v>175</v>
      </c>
      <c r="G260">
        <v>100000</v>
      </c>
      <c r="H260" s="3">
        <v>49501</v>
      </c>
      <c r="I260" s="3">
        <f t="shared" si="433"/>
        <v>50499</v>
      </c>
      <c r="J260" s="3">
        <v>433842</v>
      </c>
      <c r="K260" s="3">
        <v>439244</v>
      </c>
      <c r="L260" s="9">
        <f t="shared" si="434"/>
        <v>0.49501000000000001</v>
      </c>
      <c r="M260" s="5">
        <f t="shared" si="435"/>
        <v>4.3384200000000002</v>
      </c>
      <c r="N260" s="5">
        <f t="shared" si="436"/>
        <v>4.3924399999999997</v>
      </c>
      <c r="O260" s="5">
        <f t="shared" si="437"/>
        <v>-1.0470599999999979</v>
      </c>
      <c r="P260" s="4">
        <f t="shared" si="438"/>
        <v>-8.5039199999998836</v>
      </c>
    </row>
    <row r="261" spans="1:16" x14ac:dyDescent="0.5">
      <c r="A261" t="s">
        <v>182</v>
      </c>
      <c r="B261" t="str">
        <f t="shared" si="440"/>
        <v>RNG60xERR40xARM80</v>
      </c>
      <c r="C261">
        <v>60</v>
      </c>
      <c r="D261">
        <v>40</v>
      </c>
      <c r="E261">
        <v>80</v>
      </c>
      <c r="F261" t="s">
        <v>175</v>
      </c>
      <c r="G261">
        <v>100000</v>
      </c>
      <c r="H261" s="3">
        <v>52700</v>
      </c>
      <c r="I261" s="3">
        <f t="shared" si="433"/>
        <v>47300</v>
      </c>
      <c r="J261" s="3">
        <v>434257</v>
      </c>
      <c r="K261" s="3">
        <v>407558</v>
      </c>
      <c r="L261" s="9">
        <f t="shared" si="434"/>
        <v>0.52700000000000002</v>
      </c>
      <c r="M261" s="5">
        <f t="shared" si="435"/>
        <v>4.3425700000000003</v>
      </c>
      <c r="N261" s="5">
        <f t="shared" si="436"/>
        <v>4.0755800000000004</v>
      </c>
      <c r="O261" s="5">
        <f t="shared" si="437"/>
        <v>4.1353200000000054</v>
      </c>
      <c r="P261" s="4">
        <f t="shared" si="438"/>
        <v>42.827399999999997</v>
      </c>
    </row>
    <row r="262" spans="1:16" x14ac:dyDescent="0.5">
      <c r="A262" t="s">
        <v>182</v>
      </c>
      <c r="B262" t="str">
        <f t="shared" si="440"/>
        <v>RNG80xERR40xARM80</v>
      </c>
      <c r="C262">
        <v>80</v>
      </c>
      <c r="D262">
        <v>40</v>
      </c>
      <c r="E262">
        <v>80</v>
      </c>
      <c r="F262" t="s">
        <v>175</v>
      </c>
      <c r="G262">
        <v>100000</v>
      </c>
      <c r="H262" s="3">
        <v>52951</v>
      </c>
      <c r="I262" s="3">
        <f t="shared" si="433"/>
        <v>47049</v>
      </c>
      <c r="J262" s="3">
        <v>434550</v>
      </c>
      <c r="K262" s="3">
        <v>409204</v>
      </c>
      <c r="L262" s="9">
        <f t="shared" si="434"/>
        <v>0.52951000000000004</v>
      </c>
      <c r="M262" s="5">
        <f t="shared" si="435"/>
        <v>4.3455000000000004</v>
      </c>
      <c r="N262" s="5">
        <f t="shared" si="436"/>
        <v>4.0920399999999999</v>
      </c>
      <c r="O262" s="5">
        <f t="shared" si="437"/>
        <v>4.5419400000000074</v>
      </c>
      <c r="P262" s="4">
        <f t="shared" si="438"/>
        <v>40.160880000000077</v>
      </c>
    </row>
    <row r="263" spans="1:16" x14ac:dyDescent="0.5">
      <c r="A263" t="s">
        <v>182</v>
      </c>
      <c r="B263" t="str">
        <f t="shared" si="440"/>
        <v>RNG40xERR60xARM80</v>
      </c>
      <c r="C263">
        <v>40</v>
      </c>
      <c r="D263">
        <v>60</v>
      </c>
      <c r="E263">
        <v>80</v>
      </c>
      <c r="F263" t="s">
        <v>175</v>
      </c>
      <c r="G263">
        <v>100000</v>
      </c>
      <c r="H263" s="3">
        <v>49496</v>
      </c>
      <c r="I263" s="3">
        <f t="shared" si="433"/>
        <v>50504</v>
      </c>
      <c r="J263" s="3">
        <v>433647</v>
      </c>
      <c r="K263" s="3">
        <v>439572</v>
      </c>
      <c r="L263" s="9">
        <f t="shared" si="434"/>
        <v>0.49496000000000001</v>
      </c>
      <c r="M263" s="5">
        <f t="shared" si="435"/>
        <v>4.3364700000000003</v>
      </c>
      <c r="N263" s="5">
        <f t="shared" si="436"/>
        <v>4.3957199999999998</v>
      </c>
      <c r="O263" s="5">
        <f t="shared" si="437"/>
        <v>-1.0551599999999972</v>
      </c>
      <c r="P263" s="4">
        <f t="shared" si="438"/>
        <v>-9.0352799999999114</v>
      </c>
    </row>
    <row r="264" spans="1:16" x14ac:dyDescent="0.5">
      <c r="A264" t="s">
        <v>182</v>
      </c>
      <c r="B264" t="str">
        <f t="shared" si="440"/>
        <v>RNG60xERR60xARM80</v>
      </c>
      <c r="C264">
        <v>60</v>
      </c>
      <c r="D264">
        <v>60</v>
      </c>
      <c r="E264">
        <v>80</v>
      </c>
      <c r="F264" t="s">
        <v>175</v>
      </c>
      <c r="G264">
        <v>100000</v>
      </c>
      <c r="H264" s="3">
        <v>52755</v>
      </c>
      <c r="I264" s="3">
        <f t="shared" si="433"/>
        <v>47245</v>
      </c>
      <c r="J264" s="3">
        <v>434415</v>
      </c>
      <c r="K264" s="3">
        <v>408808</v>
      </c>
      <c r="L264" s="9">
        <f t="shared" si="434"/>
        <v>0.52754999999999996</v>
      </c>
      <c r="M264" s="5">
        <f t="shared" si="435"/>
        <v>4.34415</v>
      </c>
      <c r="N264" s="5">
        <f t="shared" si="436"/>
        <v>4.0880799999999997</v>
      </c>
      <c r="O264" s="5">
        <f t="shared" si="437"/>
        <v>4.224419999999995</v>
      </c>
      <c r="P264" s="4">
        <f t="shared" si="438"/>
        <v>40.802400000000112</v>
      </c>
    </row>
    <row r="265" spans="1:16" x14ac:dyDescent="0.5">
      <c r="A265" t="s">
        <v>182</v>
      </c>
      <c r="B265" t="str">
        <f t="shared" si="440"/>
        <v>RNG80xERR60xARM80</v>
      </c>
      <c r="C265">
        <v>80</v>
      </c>
      <c r="D265">
        <v>60</v>
      </c>
      <c r="E265">
        <v>80</v>
      </c>
      <c r="F265" t="s">
        <v>175</v>
      </c>
      <c r="G265">
        <v>100000</v>
      </c>
      <c r="H265" s="3">
        <v>52537</v>
      </c>
      <c r="I265" s="3">
        <f t="shared" si="433"/>
        <v>47463</v>
      </c>
      <c r="J265" s="3">
        <v>434183</v>
      </c>
      <c r="K265" s="3">
        <v>409999</v>
      </c>
      <c r="L265" s="9">
        <f t="shared" si="434"/>
        <v>0.52537</v>
      </c>
      <c r="M265" s="5">
        <f t="shared" si="435"/>
        <v>4.3418299999999999</v>
      </c>
      <c r="N265" s="5">
        <f t="shared" si="436"/>
        <v>4.09999</v>
      </c>
      <c r="O265" s="5">
        <f t="shared" si="437"/>
        <v>3.8712600000000017</v>
      </c>
      <c r="P265" s="4">
        <f t="shared" si="438"/>
        <v>38.872980000000062</v>
      </c>
    </row>
    <row r="266" spans="1:16" x14ac:dyDescent="0.5">
      <c r="A266" t="s">
        <v>182</v>
      </c>
      <c r="B266" t="str">
        <f t="shared" si="440"/>
        <v>RNG40xERR80xARM80</v>
      </c>
      <c r="C266">
        <v>40</v>
      </c>
      <c r="D266">
        <v>80</v>
      </c>
      <c r="E266">
        <v>80</v>
      </c>
      <c r="F266" t="s">
        <v>175</v>
      </c>
      <c r="G266">
        <v>100000</v>
      </c>
      <c r="H266" s="3">
        <v>50017</v>
      </c>
      <c r="I266" s="3">
        <f t="shared" si="433"/>
        <v>49983</v>
      </c>
      <c r="J266" s="3">
        <v>434951</v>
      </c>
      <c r="K266" s="3">
        <v>435846</v>
      </c>
      <c r="L266" s="9">
        <f t="shared" si="434"/>
        <v>0.50017</v>
      </c>
      <c r="M266" s="5">
        <f t="shared" si="435"/>
        <v>4.3495100000000004</v>
      </c>
      <c r="N266" s="5">
        <f t="shared" si="436"/>
        <v>4.35846</v>
      </c>
      <c r="O266" s="5">
        <f t="shared" si="437"/>
        <v>-0.21113999999999833</v>
      </c>
      <c r="P266" s="4">
        <f t="shared" si="438"/>
        <v>-2.9991599999999359</v>
      </c>
    </row>
    <row r="267" spans="1:16" x14ac:dyDescent="0.5">
      <c r="A267" t="s">
        <v>182</v>
      </c>
      <c r="B267" t="str">
        <f t="shared" si="440"/>
        <v>RNG60xERR80xARM80</v>
      </c>
      <c r="C267">
        <v>60</v>
      </c>
      <c r="D267">
        <v>80</v>
      </c>
      <c r="E267">
        <v>80</v>
      </c>
      <c r="F267" t="s">
        <v>175</v>
      </c>
      <c r="G267">
        <v>100000</v>
      </c>
      <c r="H267" s="3">
        <v>52630</v>
      </c>
      <c r="I267" s="3">
        <f t="shared" si="433"/>
        <v>47370</v>
      </c>
      <c r="J267" s="3">
        <v>432637</v>
      </c>
      <c r="K267" s="3">
        <v>407522</v>
      </c>
      <c r="L267" s="9">
        <f t="shared" si="434"/>
        <v>0.52629999999999999</v>
      </c>
      <c r="M267" s="5">
        <f t="shared" si="435"/>
        <v>4.3263699999999998</v>
      </c>
      <c r="N267" s="5">
        <f t="shared" si="436"/>
        <v>4.0752199999999998</v>
      </c>
      <c r="O267" s="5">
        <f t="shared" si="437"/>
        <v>4.0219199999999997</v>
      </c>
      <c r="P267" s="4">
        <f t="shared" si="438"/>
        <v>42.885720000000092</v>
      </c>
    </row>
    <row r="268" spans="1:16" x14ac:dyDescent="0.5">
      <c r="A268" t="s">
        <v>182</v>
      </c>
      <c r="B268" t="str">
        <f t="shared" si="440"/>
        <v>RNG80xERR80xARM80</v>
      </c>
      <c r="C268">
        <v>80</v>
      </c>
      <c r="D268">
        <v>80</v>
      </c>
      <c r="E268">
        <v>80</v>
      </c>
      <c r="F268" t="s">
        <v>175</v>
      </c>
      <c r="G268">
        <v>100000</v>
      </c>
      <c r="H268" s="3">
        <v>52817</v>
      </c>
      <c r="I268" s="3">
        <f t="shared" si="433"/>
        <v>47183</v>
      </c>
      <c r="J268" s="3">
        <v>436021</v>
      </c>
      <c r="K268" s="3">
        <v>409160</v>
      </c>
      <c r="L268" s="9">
        <f t="shared" si="434"/>
        <v>0.52817000000000003</v>
      </c>
      <c r="M268" s="5">
        <f t="shared" si="435"/>
        <v>4.3602100000000004</v>
      </c>
      <c r="N268" s="5">
        <f t="shared" si="436"/>
        <v>4.0915999999999997</v>
      </c>
      <c r="O268" s="5">
        <f t="shared" si="437"/>
        <v>4.3248600000000055</v>
      </c>
      <c r="P268" s="4">
        <f t="shared" si="438"/>
        <v>40.232160000000114</v>
      </c>
    </row>
    <row r="269" spans="1:16" x14ac:dyDescent="0.5">
      <c r="A269" t="s">
        <v>182</v>
      </c>
      <c r="B269" t="str">
        <f t="shared" si="440"/>
        <v>RNG45xERR60xARM60</v>
      </c>
      <c r="C269">
        <v>45</v>
      </c>
      <c r="D269">
        <v>60</v>
      </c>
      <c r="E269">
        <v>60</v>
      </c>
      <c r="F269" t="s">
        <v>175</v>
      </c>
      <c r="G269">
        <v>100000</v>
      </c>
      <c r="H269" s="3">
        <v>49522</v>
      </c>
      <c r="I269" s="3">
        <f t="shared" si="433"/>
        <v>50478</v>
      </c>
      <c r="J269" s="3">
        <v>435201</v>
      </c>
      <c r="K269" s="3">
        <v>441700</v>
      </c>
      <c r="L269" s="9">
        <f t="shared" si="434"/>
        <v>0.49521999999999999</v>
      </c>
      <c r="M269" s="5">
        <f t="shared" si="435"/>
        <v>4.3520099999999999</v>
      </c>
      <c r="N269" s="5">
        <f t="shared" si="436"/>
        <v>4.4169999999999998</v>
      </c>
      <c r="O269" s="5">
        <f t="shared" si="437"/>
        <v>-1.0130399999999999</v>
      </c>
      <c r="P269" s="4">
        <f t="shared" si="438"/>
        <v>-12.482639999999906</v>
      </c>
    </row>
    <row r="270" spans="1:16" x14ac:dyDescent="0.5">
      <c r="A270" t="s">
        <v>182</v>
      </c>
      <c r="B270" t="str">
        <f t="shared" si="440"/>
        <v>RNG50xERR60xARM60</v>
      </c>
      <c r="C270">
        <v>50</v>
      </c>
      <c r="D270">
        <v>60</v>
      </c>
      <c r="E270">
        <v>60</v>
      </c>
      <c r="F270" t="s">
        <v>175</v>
      </c>
      <c r="G270">
        <v>100000</v>
      </c>
      <c r="H270" s="3">
        <v>49777</v>
      </c>
      <c r="I270" s="3">
        <f t="shared" si="433"/>
        <v>50223</v>
      </c>
      <c r="J270" s="3">
        <v>431895</v>
      </c>
      <c r="K270" s="3">
        <v>433015</v>
      </c>
      <c r="L270" s="9">
        <f t="shared" si="434"/>
        <v>0.49776999999999999</v>
      </c>
      <c r="M270" s="5">
        <f t="shared" si="435"/>
        <v>4.3189500000000001</v>
      </c>
      <c r="N270" s="5">
        <f t="shared" si="436"/>
        <v>4.3301499999999997</v>
      </c>
      <c r="O270" s="5">
        <f t="shared" si="437"/>
        <v>-0.59994000000000047</v>
      </c>
      <c r="P270" s="4">
        <f t="shared" si="438"/>
        <v>1.5870600000001094</v>
      </c>
    </row>
    <row r="271" spans="1:16" x14ac:dyDescent="0.5">
      <c r="A271" t="s">
        <v>182</v>
      </c>
      <c r="B271" t="str">
        <f t="shared" si="440"/>
        <v>RNG55xERR60xARM60</v>
      </c>
      <c r="C271">
        <v>55</v>
      </c>
      <c r="D271">
        <v>60</v>
      </c>
      <c r="E271">
        <v>60</v>
      </c>
      <c r="F271" t="s">
        <v>175</v>
      </c>
      <c r="G271">
        <v>100000</v>
      </c>
      <c r="H271" s="3">
        <v>52472</v>
      </c>
      <c r="I271" s="3">
        <f t="shared" si="433"/>
        <v>47528</v>
      </c>
      <c r="J271" s="3">
        <v>435245</v>
      </c>
      <c r="K271" s="3">
        <v>412107</v>
      </c>
      <c r="L271" s="9">
        <f t="shared" si="434"/>
        <v>0.52471999999999996</v>
      </c>
      <c r="M271" s="5">
        <f t="shared" si="435"/>
        <v>4.3524500000000002</v>
      </c>
      <c r="N271" s="5">
        <f t="shared" si="436"/>
        <v>4.1210699999999996</v>
      </c>
      <c r="O271" s="5">
        <f t="shared" si="437"/>
        <v>3.7659599999999953</v>
      </c>
      <c r="P271" s="4">
        <f t="shared" si="438"/>
        <v>35.458020000000133</v>
      </c>
    </row>
    <row r="272" spans="1:16" x14ac:dyDescent="0.5">
      <c r="A272" s="23" t="s">
        <v>181</v>
      </c>
      <c r="B272" s="18" t="s">
        <v>165</v>
      </c>
      <c r="C272" s="18">
        <v>55</v>
      </c>
      <c r="D272" s="18">
        <v>55</v>
      </c>
      <c r="E272" s="18">
        <v>50</v>
      </c>
      <c r="F272" s="18" t="s">
        <v>175</v>
      </c>
      <c r="G272" s="18">
        <v>100000</v>
      </c>
      <c r="H272" s="19">
        <v>50147.333333333336</v>
      </c>
      <c r="I272" s="19">
        <v>49852.666666666664</v>
      </c>
      <c r="J272" s="19">
        <v>434431.33333333331</v>
      </c>
      <c r="K272" s="19">
        <v>433994.66666666669</v>
      </c>
      <c r="L272" s="20">
        <v>0.50147333333333333</v>
      </c>
      <c r="M272" s="21">
        <v>4.344313333333333</v>
      </c>
      <c r="N272" s="21">
        <v>4.3399466666666671</v>
      </c>
      <c r="O272" s="21" t="s">
        <v>50</v>
      </c>
      <c r="P272" s="22" t="s">
        <v>50</v>
      </c>
    </row>
    <row r="273" spans="1:16" x14ac:dyDescent="0.5">
      <c r="A273" t="s">
        <v>181</v>
      </c>
      <c r="B273" t="str">
        <f>_xlfn.CONCAT("BLK",C273,"xFRM",D273,"xARM",E273)</f>
        <v>BLK80xFRM55xARM50</v>
      </c>
      <c r="C273">
        <v>80</v>
      </c>
      <c r="D273">
        <v>55</v>
      </c>
      <c r="E273">
        <v>50</v>
      </c>
      <c r="F273" t="s">
        <v>175</v>
      </c>
      <c r="G273">
        <v>100000</v>
      </c>
      <c r="H273" s="3">
        <v>50259</v>
      </c>
      <c r="I273" s="3">
        <f>G273-H273</f>
        <v>49741</v>
      </c>
      <c r="J273" s="3">
        <v>434240</v>
      </c>
      <c r="K273" s="3">
        <v>431768</v>
      </c>
      <c r="L273" s="9">
        <f>H273/G273</f>
        <v>0.50258999999999998</v>
      </c>
      <c r="M273" s="5">
        <f>J273/G273</f>
        <v>4.3423999999999996</v>
      </c>
      <c r="N273" s="5">
        <f>K273/G273</f>
        <v>4.3176800000000002</v>
      </c>
      <c r="O273" s="5">
        <f>(L273-$L$7)*162</f>
        <v>0.18089999999999806</v>
      </c>
      <c r="P273" s="4">
        <f>-(N273-$N$7)*162</f>
        <v>3.6072000000000344</v>
      </c>
    </row>
    <row r="274" spans="1:16" x14ac:dyDescent="0.5">
      <c r="A274" t="s">
        <v>181</v>
      </c>
      <c r="B274" t="str">
        <f t="shared" ref="B274:B302" si="441">_xlfn.CONCAT("BLK",C274,"xFRM",D274,"xARM",E274)</f>
        <v>BLK55xFRM55xARM40</v>
      </c>
      <c r="C274">
        <v>55</v>
      </c>
      <c r="D274">
        <v>55</v>
      </c>
      <c r="E274">
        <v>40</v>
      </c>
      <c r="F274" t="s">
        <v>175</v>
      </c>
      <c r="G274">
        <v>100000</v>
      </c>
      <c r="H274" s="3">
        <v>49991</v>
      </c>
      <c r="I274" s="3">
        <f t="shared" ref="I274:I302" si="442">G274-H274</f>
        <v>50009</v>
      </c>
      <c r="J274" s="3">
        <v>436118</v>
      </c>
      <c r="K274" s="3">
        <v>435866</v>
      </c>
      <c r="L274" s="9">
        <f t="shared" ref="L274:L275" si="443">H274/G274</f>
        <v>0.49991000000000002</v>
      </c>
      <c r="M274" s="5">
        <f t="shared" ref="M274:M275" si="444">J274/G274</f>
        <v>4.3611800000000001</v>
      </c>
      <c r="N274" s="5">
        <f t="shared" ref="N274:N275" si="445">K274/G274</f>
        <v>4.3586600000000004</v>
      </c>
      <c r="O274" s="5">
        <f t="shared" ref="O274:O275" si="446">(L274-$L$7)*162</f>
        <v>-0.25325999999999549</v>
      </c>
      <c r="P274" s="4">
        <f t="shared" ref="P274:P275" si="447">-(N274-$N$7)*162</f>
        <v>-3.0315600000000043</v>
      </c>
    </row>
    <row r="275" spans="1:16" x14ac:dyDescent="0.5">
      <c r="A275" t="s">
        <v>181</v>
      </c>
      <c r="B275" t="str">
        <f t="shared" si="441"/>
        <v>BLK55xFRM55xARM80</v>
      </c>
      <c r="C275">
        <v>55</v>
      </c>
      <c r="D275">
        <v>55</v>
      </c>
      <c r="E275">
        <v>80</v>
      </c>
      <c r="F275" t="s">
        <v>175</v>
      </c>
      <c r="G275">
        <v>100000</v>
      </c>
      <c r="H275" s="3">
        <v>49893</v>
      </c>
      <c r="I275" s="3">
        <f t="shared" si="442"/>
        <v>50107</v>
      </c>
      <c r="J275" s="3">
        <v>434546</v>
      </c>
      <c r="K275" s="3">
        <v>434254</v>
      </c>
      <c r="L275" s="9">
        <f t="shared" si="443"/>
        <v>0.49892999999999998</v>
      </c>
      <c r="M275" s="5">
        <f t="shared" si="444"/>
        <v>4.3454600000000001</v>
      </c>
      <c r="N275" s="5">
        <f t="shared" si="445"/>
        <v>4.3425399999999996</v>
      </c>
      <c r="O275" s="5">
        <f t="shared" si="446"/>
        <v>-0.41202000000000139</v>
      </c>
      <c r="P275" s="4">
        <f t="shared" si="447"/>
        <v>-0.42011999999987459</v>
      </c>
    </row>
    <row r="276" spans="1:16" x14ac:dyDescent="0.5">
      <c r="A276" t="s">
        <v>181</v>
      </c>
      <c r="B276" t="str">
        <f t="shared" si="441"/>
        <v>BLK40xFRM40xARM50</v>
      </c>
      <c r="C276">
        <v>40</v>
      </c>
      <c r="D276">
        <v>40</v>
      </c>
      <c r="E276">
        <v>50</v>
      </c>
      <c r="F276" t="s">
        <v>175</v>
      </c>
      <c r="G276">
        <v>100000</v>
      </c>
      <c r="H276" s="3">
        <v>48520</v>
      </c>
      <c r="I276" s="3">
        <f t="shared" si="442"/>
        <v>51480</v>
      </c>
      <c r="J276" s="3">
        <v>434375</v>
      </c>
      <c r="K276" s="3">
        <v>449338</v>
      </c>
      <c r="L276" s="9">
        <f t="shared" ref="L276:L301" si="448">H276/G276</f>
        <v>0.48520000000000002</v>
      </c>
      <c r="M276" s="5">
        <f t="shared" ref="M276:M301" si="449">J276/G276</f>
        <v>4.34375</v>
      </c>
      <c r="N276" s="5">
        <f t="shared" ref="N276:N301" si="450">K276/G276</f>
        <v>4.4933800000000002</v>
      </c>
      <c r="O276" s="5">
        <f t="shared" ref="O276:O301" si="451">(L276-$L$7)*162</f>
        <v>-2.6362799999999957</v>
      </c>
      <c r="P276" s="4">
        <f t="shared" ref="P276:P301" si="452">-(N276-$N$7)*162</f>
        <v>-24.856199999999959</v>
      </c>
    </row>
    <row r="277" spans="1:16" x14ac:dyDescent="0.5">
      <c r="A277" t="s">
        <v>181</v>
      </c>
      <c r="B277" t="str">
        <f t="shared" si="441"/>
        <v>BLK40xFRM45xARM50</v>
      </c>
      <c r="C277">
        <v>40</v>
      </c>
      <c r="D277">
        <v>45</v>
      </c>
      <c r="E277">
        <v>50</v>
      </c>
      <c r="F277" t="s">
        <v>175</v>
      </c>
      <c r="G277">
        <v>100000</v>
      </c>
      <c r="H277" s="3">
        <v>49015</v>
      </c>
      <c r="I277" s="3">
        <f t="shared" si="442"/>
        <v>50985</v>
      </c>
      <c r="J277" s="3">
        <v>434246</v>
      </c>
      <c r="K277" s="3">
        <v>444133</v>
      </c>
      <c r="L277" s="9">
        <f t="shared" si="448"/>
        <v>0.49014999999999997</v>
      </c>
      <c r="M277" s="5">
        <f t="shared" si="449"/>
        <v>4.34246</v>
      </c>
      <c r="N277" s="5">
        <f t="shared" si="450"/>
        <v>4.4413299999999998</v>
      </c>
      <c r="O277" s="5">
        <f t="shared" si="451"/>
        <v>-1.834380000000003</v>
      </c>
      <c r="P277" s="4">
        <f t="shared" si="452"/>
        <v>-16.4240999999999</v>
      </c>
    </row>
    <row r="278" spans="1:16" x14ac:dyDescent="0.5">
      <c r="A278" t="s">
        <v>181</v>
      </c>
      <c r="B278" t="str">
        <f t="shared" si="441"/>
        <v>BLK40xFRM50xARM50</v>
      </c>
      <c r="C278">
        <v>40</v>
      </c>
      <c r="D278">
        <v>50</v>
      </c>
      <c r="E278">
        <v>50</v>
      </c>
      <c r="F278" t="s">
        <v>175</v>
      </c>
      <c r="G278">
        <v>100000</v>
      </c>
      <c r="H278" s="3">
        <v>49412</v>
      </c>
      <c r="I278" s="3">
        <f t="shared" si="442"/>
        <v>50588</v>
      </c>
      <c r="J278" s="3">
        <v>434006</v>
      </c>
      <c r="K278" s="3">
        <v>439681</v>
      </c>
      <c r="L278" s="9">
        <f t="shared" si="448"/>
        <v>0.49412</v>
      </c>
      <c r="M278" s="5">
        <f t="shared" si="449"/>
        <v>4.3400600000000003</v>
      </c>
      <c r="N278" s="5">
        <f t="shared" si="450"/>
        <v>4.3968100000000003</v>
      </c>
      <c r="O278" s="5">
        <f t="shared" si="451"/>
        <v>-1.1912399999999983</v>
      </c>
      <c r="P278" s="4">
        <f t="shared" si="452"/>
        <v>-9.2118599999999891</v>
      </c>
    </row>
    <row r="279" spans="1:16" x14ac:dyDescent="0.5">
      <c r="A279" t="s">
        <v>181</v>
      </c>
      <c r="B279" t="str">
        <f>_xlfn.CONCAT("BLK",C279,"xFRM",D279,"xARM",E279)</f>
        <v>BLK40xFRM55xARM50</v>
      </c>
      <c r="C279">
        <v>40</v>
      </c>
      <c r="D279">
        <v>55</v>
      </c>
      <c r="E279">
        <v>50</v>
      </c>
      <c r="F279" t="s">
        <v>175</v>
      </c>
      <c r="G279">
        <v>100000</v>
      </c>
      <c r="H279" s="3">
        <v>49773</v>
      </c>
      <c r="I279" s="3">
        <f>G279-H279</f>
        <v>50227</v>
      </c>
      <c r="J279" s="3">
        <v>432594</v>
      </c>
      <c r="K279" s="3">
        <v>434938</v>
      </c>
      <c r="L279" s="9">
        <f>H279/G279</f>
        <v>0.49773000000000001</v>
      </c>
      <c r="M279" s="5">
        <f>J279/G279</f>
        <v>4.3259400000000001</v>
      </c>
      <c r="N279" s="5">
        <f>K279/G279</f>
        <v>4.34938</v>
      </c>
      <c r="O279" s="5">
        <f>(L279-$L$7)*162</f>
        <v>-0.60641999999999796</v>
      </c>
      <c r="P279" s="4">
        <f>-(N279-$N$7)*162</f>
        <v>-1.5281999999999396</v>
      </c>
    </row>
    <row r="280" spans="1:16" x14ac:dyDescent="0.5">
      <c r="A280" t="s">
        <v>181</v>
      </c>
      <c r="B280" t="str">
        <f t="shared" si="441"/>
        <v>BLK40xFRM60xARM50</v>
      </c>
      <c r="C280">
        <v>40</v>
      </c>
      <c r="D280">
        <v>60</v>
      </c>
      <c r="E280">
        <v>50</v>
      </c>
      <c r="F280" t="s">
        <v>175</v>
      </c>
      <c r="G280">
        <v>100000</v>
      </c>
      <c r="H280" s="3">
        <v>50096</v>
      </c>
      <c r="I280" s="3">
        <f t="shared" si="442"/>
        <v>49904</v>
      </c>
      <c r="J280" s="3">
        <v>433519</v>
      </c>
      <c r="K280" s="3">
        <v>432999</v>
      </c>
      <c r="L280" s="9">
        <f t="shared" si="448"/>
        <v>0.50095999999999996</v>
      </c>
      <c r="M280" s="5">
        <f t="shared" si="449"/>
        <v>4.3351899999999999</v>
      </c>
      <c r="N280" s="5">
        <f t="shared" si="450"/>
        <v>4.3299899999999996</v>
      </c>
      <c r="O280" s="5">
        <f t="shared" si="451"/>
        <v>-8.316000000000523E-2</v>
      </c>
      <c r="P280" s="4">
        <f t="shared" si="452"/>
        <v>1.6129800000001353</v>
      </c>
    </row>
    <row r="281" spans="1:16" x14ac:dyDescent="0.5">
      <c r="A281" t="s">
        <v>181</v>
      </c>
      <c r="B281" t="str">
        <f t="shared" si="441"/>
        <v>BLK40xFRM65xARM50</v>
      </c>
      <c r="C281">
        <v>40</v>
      </c>
      <c r="D281">
        <v>65</v>
      </c>
      <c r="E281">
        <v>50</v>
      </c>
      <c r="F281" t="s">
        <v>175</v>
      </c>
      <c r="G281">
        <v>100000</v>
      </c>
      <c r="H281" s="3">
        <v>50602</v>
      </c>
      <c r="I281" s="3">
        <f t="shared" si="442"/>
        <v>49398</v>
      </c>
      <c r="J281" s="3">
        <v>433118</v>
      </c>
      <c r="K281" s="3">
        <v>430022</v>
      </c>
      <c r="L281" s="9">
        <f t="shared" si="448"/>
        <v>0.50602000000000003</v>
      </c>
      <c r="M281" s="5">
        <f t="shared" si="449"/>
        <v>4.3311799999999998</v>
      </c>
      <c r="N281" s="5">
        <f t="shared" si="450"/>
        <v>4.3002200000000004</v>
      </c>
      <c r="O281" s="5">
        <f t="shared" si="451"/>
        <v>0.73656000000000521</v>
      </c>
      <c r="P281" s="4">
        <f t="shared" si="452"/>
        <v>6.4357200000000034</v>
      </c>
    </row>
    <row r="282" spans="1:16" x14ac:dyDescent="0.5">
      <c r="A282" t="s">
        <v>181</v>
      </c>
      <c r="B282" t="str">
        <f t="shared" si="441"/>
        <v>BLK40xFRM70xARM50</v>
      </c>
      <c r="C282">
        <v>40</v>
      </c>
      <c r="D282">
        <v>70</v>
      </c>
      <c r="E282">
        <v>50</v>
      </c>
      <c r="F282" t="s">
        <v>175</v>
      </c>
      <c r="G282">
        <v>100000</v>
      </c>
      <c r="H282" s="3">
        <v>50250</v>
      </c>
      <c r="I282" s="3">
        <f t="shared" si="442"/>
        <v>49750</v>
      </c>
      <c r="J282" s="3">
        <v>434126</v>
      </c>
      <c r="K282" s="3">
        <v>430420</v>
      </c>
      <c r="L282" s="9">
        <f t="shared" si="448"/>
        <v>0.50249999999999995</v>
      </c>
      <c r="M282" s="5">
        <f t="shared" si="449"/>
        <v>4.3412600000000001</v>
      </c>
      <c r="N282" s="5">
        <f t="shared" si="450"/>
        <v>4.3041999999999998</v>
      </c>
      <c r="O282" s="5">
        <f t="shared" si="451"/>
        <v>0.16631999999999247</v>
      </c>
      <c r="P282" s="4">
        <f t="shared" si="452"/>
        <v>5.790960000000096</v>
      </c>
    </row>
    <row r="283" spans="1:16" x14ac:dyDescent="0.5">
      <c r="A283" t="s">
        <v>181</v>
      </c>
      <c r="B283" t="str">
        <f t="shared" si="441"/>
        <v>BLK40xFRM75xARM50</v>
      </c>
      <c r="C283">
        <v>40</v>
      </c>
      <c r="D283">
        <v>75</v>
      </c>
      <c r="E283">
        <v>50</v>
      </c>
      <c r="F283" t="s">
        <v>175</v>
      </c>
      <c r="G283">
        <v>100000</v>
      </c>
      <c r="H283" s="3">
        <v>50363</v>
      </c>
      <c r="I283" s="3">
        <f t="shared" si="442"/>
        <v>49637</v>
      </c>
      <c r="J283" s="3">
        <v>433279</v>
      </c>
      <c r="K283" s="3">
        <v>430447</v>
      </c>
      <c r="L283" s="9">
        <f t="shared" si="448"/>
        <v>0.50363000000000002</v>
      </c>
      <c r="M283" s="5">
        <f t="shared" si="449"/>
        <v>4.3327900000000001</v>
      </c>
      <c r="N283" s="5">
        <f t="shared" si="450"/>
        <v>4.3044700000000002</v>
      </c>
      <c r="O283" s="5">
        <f t="shared" si="451"/>
        <v>0.34938000000000469</v>
      </c>
      <c r="P283" s="4">
        <f t="shared" si="452"/>
        <v>5.7472200000000253</v>
      </c>
    </row>
    <row r="284" spans="1:16" x14ac:dyDescent="0.5">
      <c r="A284" t="s">
        <v>181</v>
      </c>
      <c r="B284" t="str">
        <f t="shared" si="441"/>
        <v>BLK40xFRM80xARM50</v>
      </c>
      <c r="C284">
        <v>40</v>
      </c>
      <c r="D284">
        <v>80</v>
      </c>
      <c r="E284">
        <v>50</v>
      </c>
      <c r="F284" t="s">
        <v>175</v>
      </c>
      <c r="G284">
        <v>100000</v>
      </c>
      <c r="H284" s="3">
        <v>50274</v>
      </c>
      <c r="I284" s="3">
        <f t="shared" si="442"/>
        <v>49726</v>
      </c>
      <c r="J284" s="3">
        <v>433386</v>
      </c>
      <c r="K284" s="3">
        <v>430235</v>
      </c>
      <c r="L284" s="9">
        <f t="shared" si="448"/>
        <v>0.50273999999999996</v>
      </c>
      <c r="M284" s="5">
        <f t="shared" si="449"/>
        <v>4.3338599999999996</v>
      </c>
      <c r="N284" s="5">
        <f t="shared" si="450"/>
        <v>4.3023499999999997</v>
      </c>
      <c r="O284" s="5">
        <f t="shared" si="451"/>
        <v>0.20519999999999539</v>
      </c>
      <c r="P284" s="4">
        <f t="shared" si="452"/>
        <v>6.090660000000117</v>
      </c>
    </row>
    <row r="285" spans="1:16" x14ac:dyDescent="0.5">
      <c r="A285" t="s">
        <v>181</v>
      </c>
      <c r="B285" t="str">
        <f>_xlfn.CONCAT("BLK",C285,"xFRM",D285,"xARM",E285)</f>
        <v>BLK55xFRM40xARM50</v>
      </c>
      <c r="C285">
        <v>55</v>
      </c>
      <c r="D285">
        <v>40</v>
      </c>
      <c r="E285">
        <v>50</v>
      </c>
      <c r="F285" t="s">
        <v>175</v>
      </c>
      <c r="G285">
        <v>100000</v>
      </c>
      <c r="H285" s="3">
        <v>48658</v>
      </c>
      <c r="I285" s="3">
        <f>G285-H285</f>
        <v>51342</v>
      </c>
      <c r="J285" s="3">
        <v>435201</v>
      </c>
      <c r="K285" s="3">
        <v>448365</v>
      </c>
      <c r="L285" s="9">
        <f>H285/G285</f>
        <v>0.48658000000000001</v>
      </c>
      <c r="M285" s="5">
        <f>J285/G285</f>
        <v>4.3520099999999999</v>
      </c>
      <c r="N285" s="5">
        <f>K285/G285</f>
        <v>4.4836499999999999</v>
      </c>
      <c r="O285" s="5">
        <f>(L285-$L$7)*162</f>
        <v>-2.4127199999999966</v>
      </c>
      <c r="P285" s="4">
        <f>-(N285-$N$7)*162</f>
        <v>-23.279939999999922</v>
      </c>
    </row>
    <row r="286" spans="1:16" x14ac:dyDescent="0.5">
      <c r="A286" t="s">
        <v>181</v>
      </c>
      <c r="B286" t="str">
        <f t="shared" si="441"/>
        <v>BLK55xFRM45xARM50</v>
      </c>
      <c r="C286">
        <v>55</v>
      </c>
      <c r="D286">
        <v>45</v>
      </c>
      <c r="E286">
        <v>50</v>
      </c>
      <c r="F286" t="s">
        <v>175</v>
      </c>
      <c r="G286">
        <v>100000</v>
      </c>
      <c r="H286" s="3">
        <v>49241</v>
      </c>
      <c r="I286" s="3">
        <f t="shared" si="442"/>
        <v>50759</v>
      </c>
      <c r="J286" s="3">
        <v>434082</v>
      </c>
      <c r="K286" s="3">
        <v>442602</v>
      </c>
      <c r="L286" s="9">
        <f t="shared" si="448"/>
        <v>0.49241000000000001</v>
      </c>
      <c r="M286" s="5">
        <f t="shared" si="449"/>
        <v>4.3408199999999999</v>
      </c>
      <c r="N286" s="5">
        <f t="shared" si="450"/>
        <v>4.4260200000000003</v>
      </c>
      <c r="O286" s="5">
        <f t="shared" si="451"/>
        <v>-1.4682599999999966</v>
      </c>
      <c r="P286" s="4">
        <f t="shared" si="452"/>
        <v>-13.943879999999982</v>
      </c>
    </row>
    <row r="287" spans="1:16" x14ac:dyDescent="0.5">
      <c r="A287" t="s">
        <v>181</v>
      </c>
      <c r="B287" t="str">
        <f t="shared" si="441"/>
        <v>BLK55xFRM50xARM50</v>
      </c>
      <c r="C287">
        <v>55</v>
      </c>
      <c r="D287">
        <v>50</v>
      </c>
      <c r="E287">
        <v>50</v>
      </c>
      <c r="F287" t="s">
        <v>175</v>
      </c>
      <c r="G287">
        <v>100000</v>
      </c>
      <c r="H287" s="3">
        <v>49692</v>
      </c>
      <c r="I287" s="3">
        <f t="shared" si="442"/>
        <v>50308</v>
      </c>
      <c r="J287" s="3">
        <v>435917</v>
      </c>
      <c r="K287" s="3">
        <v>439084</v>
      </c>
      <c r="L287" s="9">
        <f t="shared" si="448"/>
        <v>0.49691999999999997</v>
      </c>
      <c r="M287" s="5">
        <f t="shared" si="449"/>
        <v>4.3591699999999998</v>
      </c>
      <c r="N287" s="5">
        <f t="shared" si="450"/>
        <v>4.3908399999999999</v>
      </c>
      <c r="O287" s="5">
        <f t="shared" si="451"/>
        <v>-0.73764000000000329</v>
      </c>
      <c r="P287" s="4">
        <f t="shared" si="452"/>
        <v>-8.2447199999999121</v>
      </c>
    </row>
    <row r="288" spans="1:16" x14ac:dyDescent="0.5">
      <c r="A288" t="s">
        <v>181</v>
      </c>
      <c r="B288" t="str">
        <f t="shared" si="441"/>
        <v>BLK55xFRM60xARM50</v>
      </c>
      <c r="C288">
        <v>55</v>
      </c>
      <c r="D288">
        <v>60</v>
      </c>
      <c r="E288">
        <v>50</v>
      </c>
      <c r="F288" t="s">
        <v>175</v>
      </c>
      <c r="G288">
        <v>100000</v>
      </c>
      <c r="H288" s="3">
        <v>50294</v>
      </c>
      <c r="I288" s="3">
        <f t="shared" si="442"/>
        <v>49706</v>
      </c>
      <c r="J288" s="3">
        <v>433988</v>
      </c>
      <c r="K288" s="3">
        <v>431858</v>
      </c>
      <c r="L288" s="9">
        <f t="shared" si="448"/>
        <v>0.50294000000000005</v>
      </c>
      <c r="M288" s="5">
        <f t="shared" si="449"/>
        <v>4.33988</v>
      </c>
      <c r="N288" s="5">
        <f t="shared" si="450"/>
        <v>4.3185799999999999</v>
      </c>
      <c r="O288" s="5">
        <f t="shared" si="451"/>
        <v>0.2376000000000098</v>
      </c>
      <c r="P288" s="4">
        <f t="shared" si="452"/>
        <v>3.4614000000000864</v>
      </c>
    </row>
    <row r="289" spans="1:16" x14ac:dyDescent="0.5">
      <c r="A289" t="s">
        <v>181</v>
      </c>
      <c r="B289" t="str">
        <f t="shared" si="441"/>
        <v>BLK55xFRM65xARM50</v>
      </c>
      <c r="C289">
        <v>55</v>
      </c>
      <c r="D289">
        <v>65</v>
      </c>
      <c r="E289">
        <v>50</v>
      </c>
      <c r="F289" t="s">
        <v>175</v>
      </c>
      <c r="G289">
        <v>100000</v>
      </c>
      <c r="H289" s="3">
        <v>50452</v>
      </c>
      <c r="I289" s="3">
        <f t="shared" si="442"/>
        <v>49548</v>
      </c>
      <c r="J289" s="3">
        <v>434833</v>
      </c>
      <c r="K289" s="3">
        <v>429621</v>
      </c>
      <c r="L289" s="9">
        <f t="shared" si="448"/>
        <v>0.50451999999999997</v>
      </c>
      <c r="M289" s="5">
        <f t="shared" si="449"/>
        <v>4.3483299999999998</v>
      </c>
      <c r="N289" s="5">
        <f t="shared" si="450"/>
        <v>4.2962100000000003</v>
      </c>
      <c r="O289" s="5">
        <f t="shared" si="451"/>
        <v>0.493559999999996</v>
      </c>
      <c r="P289" s="4">
        <f t="shared" si="452"/>
        <v>7.0853400000000146</v>
      </c>
    </row>
    <row r="290" spans="1:16" x14ac:dyDescent="0.5">
      <c r="A290" t="s">
        <v>181</v>
      </c>
      <c r="B290" t="str">
        <f t="shared" si="441"/>
        <v>BLK55xFRM70xARM50</v>
      </c>
      <c r="C290">
        <v>55</v>
      </c>
      <c r="D290">
        <v>70</v>
      </c>
      <c r="E290">
        <v>50</v>
      </c>
      <c r="F290" t="s">
        <v>175</v>
      </c>
      <c r="G290">
        <v>100000</v>
      </c>
      <c r="H290" s="3">
        <v>50544</v>
      </c>
      <c r="I290" s="3">
        <f t="shared" si="442"/>
        <v>49456</v>
      </c>
      <c r="J290" s="3">
        <v>433716</v>
      </c>
      <c r="K290" s="3">
        <v>428956</v>
      </c>
      <c r="L290" s="9">
        <f t="shared" si="448"/>
        <v>0.50544</v>
      </c>
      <c r="M290" s="5">
        <f t="shared" si="449"/>
        <v>4.3371599999999999</v>
      </c>
      <c r="N290" s="5">
        <f t="shared" si="450"/>
        <v>4.2895599999999998</v>
      </c>
      <c r="O290" s="5">
        <f t="shared" si="451"/>
        <v>0.64260000000000117</v>
      </c>
      <c r="P290" s="4">
        <f t="shared" si="452"/>
        <v>8.1626400000000938</v>
      </c>
    </row>
    <row r="291" spans="1:16" x14ac:dyDescent="0.5">
      <c r="A291" t="s">
        <v>181</v>
      </c>
      <c r="B291" t="str">
        <f t="shared" si="441"/>
        <v>BLK55xFRM75xARM50</v>
      </c>
      <c r="C291">
        <v>55</v>
      </c>
      <c r="D291">
        <v>75</v>
      </c>
      <c r="E291">
        <v>50</v>
      </c>
      <c r="F291" t="s">
        <v>175</v>
      </c>
      <c r="G291">
        <v>100000</v>
      </c>
      <c r="H291" s="3">
        <v>50419</v>
      </c>
      <c r="I291" s="3">
        <f t="shared" si="442"/>
        <v>49581</v>
      </c>
      <c r="J291" s="3">
        <v>434777</v>
      </c>
      <c r="K291" s="3">
        <v>429787</v>
      </c>
      <c r="L291" s="9">
        <f t="shared" si="448"/>
        <v>0.50419000000000003</v>
      </c>
      <c r="M291" s="5">
        <f t="shared" si="449"/>
        <v>4.3477699999999997</v>
      </c>
      <c r="N291" s="5">
        <f t="shared" si="450"/>
        <v>4.2978699999999996</v>
      </c>
      <c r="O291" s="5">
        <f t="shared" si="451"/>
        <v>0.44010000000000549</v>
      </c>
      <c r="P291" s="4">
        <f t="shared" si="452"/>
        <v>6.8164200000001234</v>
      </c>
    </row>
    <row r="292" spans="1:16" x14ac:dyDescent="0.5">
      <c r="A292" t="s">
        <v>181</v>
      </c>
      <c r="B292" t="str">
        <f>_xlfn.CONCAT("BLK",C292,"xFRM",D292,"xARM",E292)</f>
        <v>BLK55xFRM80xARM50</v>
      </c>
      <c r="C292">
        <v>55</v>
      </c>
      <c r="D292">
        <v>80</v>
      </c>
      <c r="E292">
        <v>50</v>
      </c>
      <c r="F292" t="s">
        <v>175</v>
      </c>
      <c r="G292">
        <v>100000</v>
      </c>
      <c r="H292" s="3">
        <v>50214</v>
      </c>
      <c r="I292" s="3">
        <f>G292-H292</f>
        <v>49786</v>
      </c>
      <c r="J292" s="3">
        <v>432217</v>
      </c>
      <c r="K292" s="3">
        <v>430318</v>
      </c>
      <c r="L292" s="9">
        <f t="shared" ref="L292" si="453">H292/G292</f>
        <v>0.50214000000000003</v>
      </c>
      <c r="M292" s="5">
        <f t="shared" ref="M292" si="454">J292/G292</f>
        <v>4.3221699999999998</v>
      </c>
      <c r="N292" s="5">
        <f t="shared" ref="N292" si="455">K292/G292</f>
        <v>4.3031800000000002</v>
      </c>
      <c r="O292" s="5">
        <f t="shared" ref="O292" si="456">(L292-$L$7)*162</f>
        <v>0.10800000000000609</v>
      </c>
      <c r="P292" s="4">
        <f t="shared" ref="P292" si="457">-(N292-$N$7)*162</f>
        <v>5.9562000000000275</v>
      </c>
    </row>
    <row r="293" spans="1:16" x14ac:dyDescent="0.5">
      <c r="A293" t="s">
        <v>181</v>
      </c>
      <c r="B293" t="str">
        <f t="shared" si="441"/>
        <v>BLK70xFRM40xARM50</v>
      </c>
      <c r="C293">
        <v>70</v>
      </c>
      <c r="D293">
        <v>40</v>
      </c>
      <c r="E293">
        <v>50</v>
      </c>
      <c r="F293" t="s">
        <v>175</v>
      </c>
      <c r="G293">
        <v>100000</v>
      </c>
      <c r="H293" s="3">
        <v>49151</v>
      </c>
      <c r="I293" s="3">
        <f t="shared" si="442"/>
        <v>50849</v>
      </c>
      <c r="J293" s="3">
        <v>436327</v>
      </c>
      <c r="K293" s="3">
        <v>445739</v>
      </c>
      <c r="L293" s="9">
        <f t="shared" si="448"/>
        <v>0.49151</v>
      </c>
      <c r="M293" s="5">
        <f t="shared" si="449"/>
        <v>4.36327</v>
      </c>
      <c r="N293" s="5">
        <f t="shared" si="450"/>
        <v>4.4573900000000002</v>
      </c>
      <c r="O293" s="5">
        <f t="shared" si="451"/>
        <v>-1.6140599999999985</v>
      </c>
      <c r="P293" s="4">
        <f t="shared" si="452"/>
        <v>-19.025819999999968</v>
      </c>
    </row>
    <row r="294" spans="1:16" x14ac:dyDescent="0.5">
      <c r="A294" t="s">
        <v>181</v>
      </c>
      <c r="B294" t="str">
        <f t="shared" si="441"/>
        <v>BLK70xFRM45xARM50</v>
      </c>
      <c r="C294">
        <v>70</v>
      </c>
      <c r="D294">
        <v>45</v>
      </c>
      <c r="E294">
        <v>50</v>
      </c>
      <c r="F294" t="s">
        <v>175</v>
      </c>
      <c r="G294">
        <v>100000</v>
      </c>
      <c r="H294" s="3">
        <v>49346</v>
      </c>
      <c r="I294" s="3">
        <f t="shared" si="442"/>
        <v>50654</v>
      </c>
      <c r="J294" s="3">
        <v>434111</v>
      </c>
      <c r="K294" s="3">
        <v>440824</v>
      </c>
      <c r="L294" s="9">
        <f t="shared" si="448"/>
        <v>0.49346000000000001</v>
      </c>
      <c r="M294" s="5">
        <f t="shared" si="449"/>
        <v>4.3411099999999996</v>
      </c>
      <c r="N294" s="5">
        <f t="shared" si="450"/>
        <v>4.4082400000000002</v>
      </c>
      <c r="O294" s="5">
        <f t="shared" si="451"/>
        <v>-1.2981599999999973</v>
      </c>
      <c r="P294" s="4">
        <f t="shared" si="452"/>
        <v>-11.063519999999961</v>
      </c>
    </row>
    <row r="295" spans="1:16" x14ac:dyDescent="0.5">
      <c r="A295" t="s">
        <v>181</v>
      </c>
      <c r="B295" t="str">
        <f t="shared" si="441"/>
        <v>BLK70xFRM50xARM50</v>
      </c>
      <c r="C295">
        <v>70</v>
      </c>
      <c r="D295">
        <v>50</v>
      </c>
      <c r="E295">
        <v>50</v>
      </c>
      <c r="F295" t="s">
        <v>175</v>
      </c>
      <c r="G295">
        <v>100000</v>
      </c>
      <c r="H295" s="3">
        <v>49913</v>
      </c>
      <c r="I295" s="3">
        <f t="shared" si="442"/>
        <v>50087</v>
      </c>
      <c r="J295" s="3">
        <v>433753</v>
      </c>
      <c r="K295" s="3">
        <v>435544</v>
      </c>
      <c r="L295" s="9">
        <f t="shared" si="448"/>
        <v>0.49913000000000002</v>
      </c>
      <c r="M295" s="5">
        <f t="shared" si="449"/>
        <v>4.3375300000000001</v>
      </c>
      <c r="N295" s="5">
        <f t="shared" si="450"/>
        <v>4.3554399999999998</v>
      </c>
      <c r="O295" s="5">
        <f t="shared" si="451"/>
        <v>-0.37961999999999596</v>
      </c>
      <c r="P295" s="4">
        <f t="shared" si="452"/>
        <v>-2.5099199999998962</v>
      </c>
    </row>
    <row r="296" spans="1:16" x14ac:dyDescent="0.5">
      <c r="A296" t="s">
        <v>181</v>
      </c>
      <c r="B296" t="str">
        <f t="shared" si="441"/>
        <v>BLK70xFRM55xARM50</v>
      </c>
      <c r="C296">
        <v>70</v>
      </c>
      <c r="D296">
        <v>55</v>
      </c>
      <c r="E296">
        <v>50</v>
      </c>
      <c r="F296" t="s">
        <v>175</v>
      </c>
      <c r="G296">
        <v>100000</v>
      </c>
      <c r="H296" s="3">
        <v>50079</v>
      </c>
      <c r="I296" s="3">
        <f t="shared" si="442"/>
        <v>49921</v>
      </c>
      <c r="J296" s="3">
        <v>433534</v>
      </c>
      <c r="K296" s="3">
        <v>434336</v>
      </c>
      <c r="L296" s="9">
        <f t="shared" si="448"/>
        <v>0.50078999999999996</v>
      </c>
      <c r="M296" s="5">
        <f t="shared" si="449"/>
        <v>4.3353400000000004</v>
      </c>
      <c r="N296" s="5">
        <f t="shared" si="450"/>
        <v>4.3433599999999997</v>
      </c>
      <c r="O296" s="5">
        <f t="shared" si="451"/>
        <v>-0.11070000000000579</v>
      </c>
      <c r="P296" s="4">
        <f t="shared" si="452"/>
        <v>-0.55295999999988155</v>
      </c>
    </row>
    <row r="297" spans="1:16" x14ac:dyDescent="0.5">
      <c r="A297" t="s">
        <v>181</v>
      </c>
      <c r="B297" t="str">
        <f t="shared" si="441"/>
        <v>BLK70xFRM60xARM50</v>
      </c>
      <c r="C297">
        <v>70</v>
      </c>
      <c r="D297">
        <v>60</v>
      </c>
      <c r="E297">
        <v>50</v>
      </c>
      <c r="F297" t="s">
        <v>175</v>
      </c>
      <c r="G297">
        <v>100000</v>
      </c>
      <c r="H297" s="3">
        <v>50363</v>
      </c>
      <c r="I297" s="3">
        <f t="shared" si="442"/>
        <v>49637</v>
      </c>
      <c r="J297" s="3">
        <v>433443</v>
      </c>
      <c r="K297" s="3">
        <v>430822</v>
      </c>
      <c r="L297" s="9">
        <f t="shared" si="448"/>
        <v>0.50363000000000002</v>
      </c>
      <c r="M297" s="5">
        <f t="shared" si="449"/>
        <v>4.3344300000000002</v>
      </c>
      <c r="N297" s="5">
        <f t="shared" si="450"/>
        <v>4.3082200000000004</v>
      </c>
      <c r="O297" s="5">
        <f t="shared" si="451"/>
        <v>0.34938000000000469</v>
      </c>
      <c r="P297" s="4">
        <f t="shared" si="452"/>
        <v>5.1397200000000023</v>
      </c>
    </row>
    <row r="298" spans="1:16" x14ac:dyDescent="0.5">
      <c r="A298" t="s">
        <v>181</v>
      </c>
      <c r="B298" t="str">
        <f t="shared" si="441"/>
        <v>BLK70xFRM65xARM50</v>
      </c>
      <c r="C298">
        <v>70</v>
      </c>
      <c r="D298">
        <v>65</v>
      </c>
      <c r="E298">
        <v>50</v>
      </c>
      <c r="F298" t="s">
        <v>175</v>
      </c>
      <c r="G298">
        <v>100000</v>
      </c>
      <c r="H298" s="3">
        <v>50404</v>
      </c>
      <c r="I298" s="3">
        <f t="shared" si="442"/>
        <v>49596</v>
      </c>
      <c r="J298" s="3">
        <v>433599</v>
      </c>
      <c r="K298" s="3">
        <v>427487</v>
      </c>
      <c r="L298" s="9">
        <f t="shared" si="448"/>
        <v>0.50404000000000004</v>
      </c>
      <c r="M298" s="5">
        <f t="shared" si="449"/>
        <v>4.3359899999999998</v>
      </c>
      <c r="N298" s="5">
        <f t="shared" si="450"/>
        <v>4.2748699999999999</v>
      </c>
      <c r="O298" s="5">
        <f t="shared" si="451"/>
        <v>0.41580000000000816</v>
      </c>
      <c r="P298" s="4">
        <f t="shared" si="452"/>
        <v>10.542420000000073</v>
      </c>
    </row>
    <row r="299" spans="1:16" x14ac:dyDescent="0.5">
      <c r="A299" t="s">
        <v>181</v>
      </c>
      <c r="B299" t="str">
        <f t="shared" si="441"/>
        <v>BLK70xFRM70xARM50</v>
      </c>
      <c r="C299">
        <v>70</v>
      </c>
      <c r="D299">
        <v>70</v>
      </c>
      <c r="E299">
        <v>50</v>
      </c>
      <c r="F299" t="s">
        <v>175</v>
      </c>
      <c r="G299">
        <v>100000</v>
      </c>
      <c r="H299" s="3">
        <v>50661</v>
      </c>
      <c r="I299" s="3">
        <f t="shared" si="442"/>
        <v>49339</v>
      </c>
      <c r="J299" s="3">
        <v>432775</v>
      </c>
      <c r="K299" s="3">
        <v>427253</v>
      </c>
      <c r="L299" s="9">
        <f t="shared" si="448"/>
        <v>0.50661</v>
      </c>
      <c r="M299" s="5">
        <f t="shared" si="449"/>
        <v>4.32775</v>
      </c>
      <c r="N299" s="5">
        <f t="shared" si="450"/>
        <v>4.2725299999999997</v>
      </c>
      <c r="O299" s="5">
        <f t="shared" si="451"/>
        <v>0.83214000000000188</v>
      </c>
      <c r="P299" s="4">
        <f t="shared" si="452"/>
        <v>10.92150000000011</v>
      </c>
    </row>
    <row r="300" spans="1:16" x14ac:dyDescent="0.5">
      <c r="A300" t="s">
        <v>181</v>
      </c>
      <c r="B300" t="str">
        <f t="shared" si="441"/>
        <v>BLK70xFRM75xARM50</v>
      </c>
      <c r="C300">
        <v>70</v>
      </c>
      <c r="D300">
        <v>75</v>
      </c>
      <c r="E300">
        <v>50</v>
      </c>
      <c r="F300" t="s">
        <v>175</v>
      </c>
      <c r="G300">
        <v>100000</v>
      </c>
      <c r="H300" s="3">
        <v>50616</v>
      </c>
      <c r="I300" s="3">
        <f t="shared" si="442"/>
        <v>49384</v>
      </c>
      <c r="J300" s="3">
        <v>435159</v>
      </c>
      <c r="K300" s="3">
        <v>428342</v>
      </c>
      <c r="L300" s="9">
        <f t="shared" si="448"/>
        <v>0.50616000000000005</v>
      </c>
      <c r="M300" s="5">
        <f t="shared" si="449"/>
        <v>4.3515899999999998</v>
      </c>
      <c r="N300" s="5">
        <f t="shared" si="450"/>
        <v>4.2834199999999996</v>
      </c>
      <c r="O300" s="5">
        <f t="shared" si="451"/>
        <v>0.75924000000000991</v>
      </c>
      <c r="P300" s="4">
        <f t="shared" si="452"/>
        <v>9.1573200000001354</v>
      </c>
    </row>
    <row r="301" spans="1:16" x14ac:dyDescent="0.5">
      <c r="A301" t="s">
        <v>181</v>
      </c>
      <c r="B301" t="str">
        <f t="shared" si="441"/>
        <v>BLK70xFRM80xARM50</v>
      </c>
      <c r="C301">
        <v>70</v>
      </c>
      <c r="D301">
        <v>80</v>
      </c>
      <c r="E301">
        <v>50</v>
      </c>
      <c r="F301" t="s">
        <v>175</v>
      </c>
      <c r="G301">
        <v>100000</v>
      </c>
      <c r="H301" s="3">
        <v>50661</v>
      </c>
      <c r="I301" s="3">
        <f t="shared" si="442"/>
        <v>49339</v>
      </c>
      <c r="J301" s="3">
        <v>434232</v>
      </c>
      <c r="K301" s="3">
        <v>427274</v>
      </c>
      <c r="L301" s="9">
        <f t="shared" si="448"/>
        <v>0.50661</v>
      </c>
      <c r="M301" s="5">
        <f t="shared" si="449"/>
        <v>4.34232</v>
      </c>
      <c r="N301" s="5">
        <f t="shared" si="450"/>
        <v>4.2727399999999998</v>
      </c>
      <c r="O301" s="5">
        <f t="shared" si="451"/>
        <v>0.83214000000000188</v>
      </c>
      <c r="P301" s="4">
        <f t="shared" si="452"/>
        <v>10.887480000000103</v>
      </c>
    </row>
    <row r="302" spans="1:16" x14ac:dyDescent="0.5">
      <c r="A302" t="s">
        <v>181</v>
      </c>
      <c r="B302" t="str">
        <f t="shared" si="441"/>
        <v>BLK70xFRM70xARM70</v>
      </c>
      <c r="C302">
        <v>70</v>
      </c>
      <c r="D302">
        <v>70</v>
      </c>
      <c r="E302">
        <v>70</v>
      </c>
      <c r="F302" t="s">
        <v>175</v>
      </c>
      <c r="G302">
        <v>100000</v>
      </c>
      <c r="H302" s="3">
        <v>50756</v>
      </c>
      <c r="I302" s="3">
        <f t="shared" si="442"/>
        <v>49244</v>
      </c>
      <c r="J302" s="3">
        <v>433218</v>
      </c>
      <c r="K302" s="3">
        <v>426525</v>
      </c>
      <c r="L302" s="9">
        <f t="shared" ref="L302" si="458">H302/G302</f>
        <v>0.50756000000000001</v>
      </c>
      <c r="M302" s="5">
        <f t="shared" ref="M302" si="459">J302/G302</f>
        <v>4.3321800000000001</v>
      </c>
      <c r="N302" s="5">
        <f t="shared" ref="N302" si="460">K302/G302</f>
        <v>4.26525</v>
      </c>
      <c r="O302" s="5">
        <f t="shared" ref="O302" si="461">(L302-$L$7)*162</f>
        <v>0.98604000000000291</v>
      </c>
      <c r="P302" s="4">
        <f t="shared" ref="P302" si="462">-(N302-$N$7)*162</f>
        <v>12.100860000000067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55DBA-5475-46EF-8DA6-B1DB023B8E22}">
  <dimension ref="A2:P163"/>
  <sheetViews>
    <sheetView tabSelected="1" topLeftCell="A136" zoomScale="115" zoomScaleNormal="115" workbookViewId="0">
      <selection activeCell="A2" sqref="A2:P163"/>
    </sheetView>
  </sheetViews>
  <sheetFormatPr defaultRowHeight="14.35" x14ac:dyDescent="0.5"/>
  <cols>
    <col min="1" max="1" width="7.05859375" bestFit="1" customWidth="1"/>
    <col min="2" max="2" width="24.52734375" bestFit="1" customWidth="1"/>
    <col min="3" max="3" width="12.87890625" bestFit="1" customWidth="1"/>
    <col min="4" max="4" width="11.41015625" bestFit="1" customWidth="1"/>
    <col min="5" max="5" width="3.9375" bestFit="1" customWidth="1"/>
    <col min="6" max="7" width="6.76171875" bestFit="1" customWidth="1"/>
    <col min="8" max="8" width="6.41015625" bestFit="1" customWidth="1"/>
    <col min="9" max="9" width="6.76171875" bestFit="1" customWidth="1"/>
    <col min="10" max="10" width="10.41015625" bestFit="1" customWidth="1"/>
    <col min="11" max="11" width="11.17578125" bestFit="1" customWidth="1"/>
    <col min="12" max="12" width="6.76171875" bestFit="1" customWidth="1"/>
    <col min="13" max="13" width="9.87890625" bestFit="1" customWidth="1"/>
    <col min="14" max="14" width="9.41015625" bestFit="1" customWidth="1"/>
    <col min="15" max="15" width="11.3515625" bestFit="1" customWidth="1"/>
    <col min="16" max="16" width="11.234375" bestFit="1" customWidth="1"/>
  </cols>
  <sheetData>
    <row r="2" spans="1:16" x14ac:dyDescent="0.5">
      <c r="H2" t="s">
        <v>48</v>
      </c>
      <c r="I2" t="s">
        <v>48</v>
      </c>
      <c r="J2" s="3" t="s">
        <v>48</v>
      </c>
      <c r="K2" s="3" t="s">
        <v>48</v>
      </c>
      <c r="L2" t="s">
        <v>48</v>
      </c>
      <c r="M2" t="s">
        <v>48</v>
      </c>
      <c r="N2" t="s">
        <v>48</v>
      </c>
      <c r="O2" t="s">
        <v>48</v>
      </c>
      <c r="P2" t="s">
        <v>48</v>
      </c>
    </row>
    <row r="3" spans="1:16" x14ac:dyDescent="0.5">
      <c r="A3" t="s">
        <v>160</v>
      </c>
      <c r="B3" t="s">
        <v>167</v>
      </c>
      <c r="C3" t="s">
        <v>172</v>
      </c>
      <c r="D3" t="s">
        <v>173</v>
      </c>
      <c r="E3" t="s">
        <v>168</v>
      </c>
      <c r="F3" t="s">
        <v>169</v>
      </c>
      <c r="G3" t="s">
        <v>166</v>
      </c>
      <c r="H3" s="16" t="s">
        <v>40</v>
      </c>
      <c r="I3" s="16" t="s">
        <v>41</v>
      </c>
      <c r="J3" s="3" t="s">
        <v>161</v>
      </c>
      <c r="K3" s="3" t="s">
        <v>162</v>
      </c>
      <c r="L3" t="s">
        <v>44</v>
      </c>
      <c r="M3" t="s">
        <v>170</v>
      </c>
      <c r="N3" t="s">
        <v>163</v>
      </c>
      <c r="O3" t="s">
        <v>46</v>
      </c>
      <c r="P3" t="s">
        <v>164</v>
      </c>
    </row>
    <row r="4" spans="1:16" x14ac:dyDescent="0.5">
      <c r="B4" t="s">
        <v>165</v>
      </c>
      <c r="G4">
        <v>100000</v>
      </c>
      <c r="H4" s="3">
        <v>49765</v>
      </c>
      <c r="I4">
        <f>G4-H4</f>
        <v>50235</v>
      </c>
      <c r="J4" s="3">
        <v>413894</v>
      </c>
      <c r="K4" s="3">
        <v>415919</v>
      </c>
      <c r="L4" s="9">
        <f t="shared" ref="L4:L6" si="0">H4/G4</f>
        <v>0.49764999999999998</v>
      </c>
      <c r="M4" s="5">
        <f t="shared" ref="M4:M6" si="1">J4/G4</f>
        <v>4.1389399999999998</v>
      </c>
      <c r="N4" s="5">
        <f t="shared" ref="N4:N6" si="2">K4/G4</f>
        <v>4.1591899999999997</v>
      </c>
    </row>
    <row r="5" spans="1:16" x14ac:dyDescent="0.5">
      <c r="B5" t="s">
        <v>165</v>
      </c>
      <c r="G5">
        <v>100000</v>
      </c>
      <c r="H5" s="3">
        <v>50092</v>
      </c>
      <c r="I5">
        <f t="shared" ref="I5:I97" si="3">G5-H5</f>
        <v>49908</v>
      </c>
      <c r="J5" s="3">
        <v>414644</v>
      </c>
      <c r="K5" s="3">
        <v>414251</v>
      </c>
      <c r="L5" s="9">
        <f t="shared" si="0"/>
        <v>0.50092000000000003</v>
      </c>
      <c r="M5" s="5">
        <f t="shared" si="1"/>
        <v>4.1464400000000001</v>
      </c>
      <c r="N5" s="5">
        <f t="shared" si="2"/>
        <v>4.1425099999999997</v>
      </c>
    </row>
    <row r="6" spans="1:16" x14ac:dyDescent="0.5">
      <c r="B6" t="s">
        <v>165</v>
      </c>
      <c r="G6">
        <v>100000</v>
      </c>
      <c r="H6" s="3">
        <v>49980</v>
      </c>
      <c r="I6">
        <f t="shared" si="3"/>
        <v>50020</v>
      </c>
      <c r="J6" s="3">
        <v>415709</v>
      </c>
      <c r="K6" s="3">
        <v>416539</v>
      </c>
      <c r="L6" s="9">
        <f t="shared" si="0"/>
        <v>0.49980000000000002</v>
      </c>
      <c r="M6" s="5">
        <f t="shared" si="1"/>
        <v>4.1570900000000002</v>
      </c>
      <c r="N6" s="5">
        <f t="shared" si="2"/>
        <v>4.1653900000000004</v>
      </c>
    </row>
    <row r="7" spans="1:16" x14ac:dyDescent="0.5">
      <c r="A7" s="18" t="s">
        <v>245</v>
      </c>
      <c r="B7" s="18" t="s">
        <v>165</v>
      </c>
      <c r="C7" s="18">
        <v>55</v>
      </c>
      <c r="D7" s="18">
        <v>55</v>
      </c>
      <c r="E7" s="18">
        <v>55</v>
      </c>
      <c r="F7" s="18"/>
      <c r="G7" s="18">
        <v>100000</v>
      </c>
      <c r="H7" s="19">
        <v>49945.666666666664</v>
      </c>
      <c r="I7" s="19">
        <v>50054.333333333336</v>
      </c>
      <c r="J7" s="19">
        <v>414749</v>
      </c>
      <c r="K7" s="19">
        <v>415569.66666666669</v>
      </c>
      <c r="L7" s="20">
        <v>0.49945666666666666</v>
      </c>
      <c r="M7" s="21">
        <v>4.1474900000000003</v>
      </c>
      <c r="N7" s="21">
        <v>4.1556966666666666</v>
      </c>
      <c r="O7" s="21" t="s">
        <v>50</v>
      </c>
      <c r="P7" s="22" t="s">
        <v>50</v>
      </c>
    </row>
    <row r="8" spans="1:16" x14ac:dyDescent="0.5">
      <c r="A8" t="s">
        <v>245</v>
      </c>
      <c r="B8" t="str">
        <f>_xlfn.CONCAT("BLK",C8,"xFRM",D8,"xARM",E8)</f>
        <v>BLK20xFRM20xARM20</v>
      </c>
      <c r="C8">
        <v>20</v>
      </c>
      <c r="D8">
        <v>20</v>
      </c>
      <c r="E8">
        <v>20</v>
      </c>
      <c r="G8">
        <v>100000</v>
      </c>
      <c r="H8">
        <v>46751</v>
      </c>
      <c r="I8" s="3">
        <f>G8-H8</f>
        <v>53249</v>
      </c>
      <c r="J8">
        <v>413786</v>
      </c>
      <c r="K8">
        <v>444647</v>
      </c>
      <c r="L8" s="9">
        <f>H8/G8</f>
        <v>0.46750999999999998</v>
      </c>
      <c r="M8" s="5">
        <f t="shared" ref="M8" si="4">J8/G8</f>
        <v>4.1378599999999999</v>
      </c>
      <c r="N8" s="5">
        <f t="shared" ref="N8" si="5">K8/G8</f>
        <v>4.4464699999999997</v>
      </c>
      <c r="O8" s="5">
        <f t="shared" ref="O8:O18" si="6">(L8-$L$86)*162</f>
        <v>-5.1753600000000022</v>
      </c>
      <c r="P8" s="4">
        <f t="shared" ref="P8:P18" si="7">-(N8-$N$86)*162</f>
        <v>-47.105279999999965</v>
      </c>
    </row>
    <row r="9" spans="1:16" x14ac:dyDescent="0.5">
      <c r="A9" t="s">
        <v>245</v>
      </c>
      <c r="B9" t="str">
        <f>_xlfn.CONCAT("BLK",C9,"xFRM",D9,"xARM",E9)</f>
        <v>BLK80xFRM80xARM80</v>
      </c>
      <c r="C9">
        <v>80</v>
      </c>
      <c r="D9">
        <v>80</v>
      </c>
      <c r="E9">
        <v>80</v>
      </c>
      <c r="G9">
        <v>100000</v>
      </c>
      <c r="H9">
        <v>51038</v>
      </c>
      <c r="I9" s="3">
        <f>G9-H9</f>
        <v>48962</v>
      </c>
      <c r="J9">
        <v>414656</v>
      </c>
      <c r="K9">
        <v>406109</v>
      </c>
      <c r="L9" s="9">
        <f>H9/G9</f>
        <v>0.51037999999999994</v>
      </c>
      <c r="M9" s="5">
        <f t="shared" ref="M9" si="8">J9/G9</f>
        <v>4.14656</v>
      </c>
      <c r="N9" s="5">
        <f t="shared" ref="N9" si="9">K9/G9</f>
        <v>4.0610900000000001</v>
      </c>
      <c r="O9" s="5">
        <f t="shared" si="6"/>
        <v>1.7695799999999922</v>
      </c>
      <c r="P9" s="4">
        <f t="shared" si="7"/>
        <v>15.326279999999974</v>
      </c>
    </row>
    <row r="10" spans="1:16" x14ac:dyDescent="0.5">
      <c r="A10" t="s">
        <v>245</v>
      </c>
      <c r="B10" t="str">
        <f t="shared" ref="B10:B22" si="10">_xlfn.CONCAT("BLK",C10,"xFRM",D10,"xARM",E10)</f>
        <v>BLK55xFRM20xARM55</v>
      </c>
      <c r="C10">
        <v>55</v>
      </c>
      <c r="D10">
        <v>20</v>
      </c>
      <c r="E10">
        <v>55</v>
      </c>
      <c r="G10">
        <v>100000</v>
      </c>
      <c r="H10">
        <v>47454</v>
      </c>
      <c r="I10" s="3">
        <f t="shared" ref="I10:I22" si="11">G10-H10</f>
        <v>52546</v>
      </c>
      <c r="J10">
        <v>414960</v>
      </c>
      <c r="K10">
        <v>439159</v>
      </c>
      <c r="L10" s="9">
        <f t="shared" ref="L10:L18" si="12">H10/G10</f>
        <v>0.47454000000000002</v>
      </c>
      <c r="M10" s="5">
        <f t="shared" ref="M10:M18" si="13">J10/G10</f>
        <v>4.1496000000000004</v>
      </c>
      <c r="N10" s="5">
        <f t="shared" ref="N10:N18" si="14">K10/G10</f>
        <v>4.3915899999999999</v>
      </c>
      <c r="O10" s="5">
        <f t="shared" si="6"/>
        <v>-4.0364999999999958</v>
      </c>
      <c r="P10" s="4">
        <f t="shared" si="7"/>
        <v>-38.214719999999993</v>
      </c>
    </row>
    <row r="11" spans="1:16" x14ac:dyDescent="0.5">
      <c r="A11" t="s">
        <v>245</v>
      </c>
      <c r="B11" t="str">
        <f t="shared" ref="B11" si="15">_xlfn.CONCAT("BLK",C11,"xFRM",D11,"xARM",E11)</f>
        <v>BLK55xFRM30xARM55</v>
      </c>
      <c r="C11">
        <v>55</v>
      </c>
      <c r="D11">
        <v>30</v>
      </c>
      <c r="E11">
        <v>55</v>
      </c>
      <c r="G11">
        <v>100000</v>
      </c>
      <c r="H11">
        <v>47887</v>
      </c>
      <c r="I11" s="3">
        <f t="shared" si="11"/>
        <v>52113</v>
      </c>
      <c r="J11">
        <v>415867</v>
      </c>
      <c r="K11">
        <v>436120</v>
      </c>
      <c r="L11" s="9">
        <f t="shared" ref="L11" si="16">H11/G11</f>
        <v>0.47887000000000002</v>
      </c>
      <c r="M11" s="5">
        <f t="shared" ref="M11" si="17">J11/G11</f>
        <v>4.1586699999999999</v>
      </c>
      <c r="N11" s="5">
        <f t="shared" ref="N11" si="18">K11/G11</f>
        <v>4.3612000000000002</v>
      </c>
      <c r="O11" s="5">
        <f t="shared" si="6"/>
        <v>-3.3350399999999958</v>
      </c>
      <c r="P11" s="4">
        <f t="shared" si="7"/>
        <v>-33.29154000000004</v>
      </c>
    </row>
    <row r="12" spans="1:16" x14ac:dyDescent="0.5">
      <c r="A12" t="s">
        <v>245</v>
      </c>
      <c r="B12" t="str">
        <f t="shared" si="10"/>
        <v>BLK55xFRM40xARM55</v>
      </c>
      <c r="C12">
        <v>55</v>
      </c>
      <c r="D12">
        <v>40</v>
      </c>
      <c r="E12">
        <v>55</v>
      </c>
      <c r="G12">
        <v>100000</v>
      </c>
      <c r="H12">
        <v>48684</v>
      </c>
      <c r="I12" s="3">
        <f t="shared" si="11"/>
        <v>51316</v>
      </c>
      <c r="J12">
        <v>415923</v>
      </c>
      <c r="K12">
        <v>427999</v>
      </c>
      <c r="L12" s="9">
        <f t="shared" si="12"/>
        <v>0.48683999999999999</v>
      </c>
      <c r="M12" s="5">
        <f t="shared" si="13"/>
        <v>4.15923</v>
      </c>
      <c r="N12" s="5">
        <f t="shared" si="14"/>
        <v>4.2799899999999997</v>
      </c>
      <c r="O12" s="5">
        <f t="shared" si="6"/>
        <v>-2.0438999999999998</v>
      </c>
      <c r="P12" s="4">
        <f t="shared" si="7"/>
        <v>-20.135519999999971</v>
      </c>
    </row>
    <row r="13" spans="1:16" x14ac:dyDescent="0.5">
      <c r="A13" t="s">
        <v>245</v>
      </c>
      <c r="B13" t="str">
        <f t="shared" si="10"/>
        <v>BLK55xFRM45xARM55</v>
      </c>
      <c r="C13">
        <v>55</v>
      </c>
      <c r="D13">
        <v>45</v>
      </c>
      <c r="E13">
        <v>55</v>
      </c>
      <c r="G13">
        <v>100000</v>
      </c>
      <c r="H13">
        <v>49145</v>
      </c>
      <c r="I13" s="3">
        <f t="shared" si="11"/>
        <v>50855</v>
      </c>
      <c r="J13">
        <v>416235</v>
      </c>
      <c r="K13">
        <v>423283</v>
      </c>
      <c r="L13" s="9">
        <f t="shared" si="12"/>
        <v>0.49145</v>
      </c>
      <c r="M13" s="5">
        <f t="shared" si="13"/>
        <v>4.16235</v>
      </c>
      <c r="N13" s="5">
        <f t="shared" si="14"/>
        <v>4.2328299999999999</v>
      </c>
      <c r="O13" s="5">
        <f t="shared" si="6"/>
        <v>-1.2970799999999993</v>
      </c>
      <c r="P13" s="4">
        <f t="shared" si="7"/>
        <v>-12.495599999999991</v>
      </c>
    </row>
    <row r="14" spans="1:16" x14ac:dyDescent="0.5">
      <c r="A14" t="s">
        <v>245</v>
      </c>
      <c r="B14" t="str">
        <f t="shared" si="10"/>
        <v>BLK55xFRM50xARM55</v>
      </c>
      <c r="C14">
        <v>55</v>
      </c>
      <c r="D14">
        <v>50</v>
      </c>
      <c r="E14">
        <v>55</v>
      </c>
      <c r="G14">
        <v>100000</v>
      </c>
      <c r="H14">
        <v>49933</v>
      </c>
      <c r="I14" s="3">
        <f t="shared" si="11"/>
        <v>50067</v>
      </c>
      <c r="J14">
        <v>416983</v>
      </c>
      <c r="K14">
        <v>418313</v>
      </c>
      <c r="L14" s="9">
        <f t="shared" si="12"/>
        <v>0.49933</v>
      </c>
      <c r="M14" s="5">
        <f t="shared" si="13"/>
        <v>4.1698300000000001</v>
      </c>
      <c r="N14" s="5">
        <f t="shared" si="14"/>
        <v>4.1831300000000002</v>
      </c>
      <c r="O14" s="5">
        <f t="shared" si="6"/>
        <v>-2.0519999999999539E-2</v>
      </c>
      <c r="P14" s="4">
        <f t="shared" si="7"/>
        <v>-4.4442000000000501</v>
      </c>
    </row>
    <row r="15" spans="1:16" x14ac:dyDescent="0.5">
      <c r="A15" t="s">
        <v>245</v>
      </c>
      <c r="B15" t="str">
        <f t="shared" si="10"/>
        <v>BLK55xFRM60xARM55</v>
      </c>
      <c r="C15">
        <v>55</v>
      </c>
      <c r="D15">
        <v>60</v>
      </c>
      <c r="E15">
        <v>55</v>
      </c>
      <c r="G15">
        <v>100000</v>
      </c>
      <c r="H15">
        <v>50419</v>
      </c>
      <c r="I15" s="3">
        <f t="shared" si="11"/>
        <v>49581</v>
      </c>
      <c r="J15">
        <v>416968</v>
      </c>
      <c r="K15">
        <v>412370</v>
      </c>
      <c r="L15" s="9">
        <f t="shared" si="12"/>
        <v>0.50419000000000003</v>
      </c>
      <c r="M15" s="5">
        <f t="shared" si="13"/>
        <v>4.1696799999999996</v>
      </c>
      <c r="N15" s="5">
        <f t="shared" si="14"/>
        <v>4.1237000000000004</v>
      </c>
      <c r="O15" s="5">
        <f t="shared" si="6"/>
        <v>0.76680000000000548</v>
      </c>
      <c r="P15" s="4">
        <f t="shared" si="7"/>
        <v>5.1834599999999291</v>
      </c>
    </row>
    <row r="16" spans="1:16" x14ac:dyDescent="0.5">
      <c r="A16" t="s">
        <v>245</v>
      </c>
      <c r="B16" t="str">
        <f t="shared" si="10"/>
        <v>BLK55xFRM65xARM55</v>
      </c>
      <c r="C16">
        <v>55</v>
      </c>
      <c r="D16">
        <v>65</v>
      </c>
      <c r="E16">
        <v>55</v>
      </c>
      <c r="G16">
        <v>100000</v>
      </c>
      <c r="H16">
        <v>50664</v>
      </c>
      <c r="I16" s="3">
        <f t="shared" si="11"/>
        <v>49336</v>
      </c>
      <c r="J16">
        <v>415568</v>
      </c>
      <c r="K16">
        <v>409859</v>
      </c>
      <c r="L16" s="9">
        <f t="shared" si="12"/>
        <v>0.50663999999999998</v>
      </c>
      <c r="M16" s="5">
        <f t="shared" si="13"/>
        <v>4.1556800000000003</v>
      </c>
      <c r="N16" s="5">
        <f t="shared" si="14"/>
        <v>4.0985899999999997</v>
      </c>
      <c r="O16" s="5">
        <f t="shared" si="6"/>
        <v>1.1636999999999977</v>
      </c>
      <c r="P16" s="4">
        <f t="shared" si="7"/>
        <v>9.2512800000000315</v>
      </c>
    </row>
    <row r="17" spans="1:16" x14ac:dyDescent="0.5">
      <c r="A17" t="s">
        <v>245</v>
      </c>
      <c r="B17" t="str">
        <f t="shared" si="10"/>
        <v>BLK55xFRM70xARM55</v>
      </c>
      <c r="C17">
        <v>55</v>
      </c>
      <c r="D17">
        <v>70</v>
      </c>
      <c r="E17">
        <v>55</v>
      </c>
      <c r="G17">
        <v>100000</v>
      </c>
      <c r="H17">
        <v>50339</v>
      </c>
      <c r="I17" s="3">
        <f t="shared" si="11"/>
        <v>49661</v>
      </c>
      <c r="J17">
        <v>414243</v>
      </c>
      <c r="K17">
        <v>410691</v>
      </c>
      <c r="L17" s="9">
        <f t="shared" si="12"/>
        <v>0.50339</v>
      </c>
      <c r="M17" s="5">
        <f t="shared" si="13"/>
        <v>4.1424300000000001</v>
      </c>
      <c r="N17" s="5">
        <f t="shared" si="14"/>
        <v>4.1069100000000001</v>
      </c>
      <c r="O17" s="5">
        <f t="shared" si="6"/>
        <v>0.63720000000000176</v>
      </c>
      <c r="P17" s="4">
        <f t="shared" si="7"/>
        <v>7.9034399999999785</v>
      </c>
    </row>
    <row r="18" spans="1:16" x14ac:dyDescent="0.5">
      <c r="A18" t="s">
        <v>245</v>
      </c>
      <c r="B18" t="str">
        <f t="shared" si="10"/>
        <v>BLK55xFRM80xARM55</v>
      </c>
      <c r="C18">
        <v>55</v>
      </c>
      <c r="D18">
        <v>80</v>
      </c>
      <c r="E18">
        <v>55</v>
      </c>
      <c r="G18">
        <v>100000</v>
      </c>
      <c r="H18">
        <v>50542</v>
      </c>
      <c r="I18" s="3">
        <f t="shared" si="11"/>
        <v>49458</v>
      </c>
      <c r="J18">
        <v>414913</v>
      </c>
      <c r="K18">
        <v>410988</v>
      </c>
      <c r="L18" s="9">
        <f t="shared" si="12"/>
        <v>0.50541999999999998</v>
      </c>
      <c r="M18" s="5">
        <f t="shared" si="13"/>
        <v>4.1491300000000004</v>
      </c>
      <c r="N18" s="5">
        <f t="shared" si="14"/>
        <v>4.1098800000000004</v>
      </c>
      <c r="O18" s="5">
        <f t="shared" si="6"/>
        <v>0.96605999999999792</v>
      </c>
      <c r="P18" s="4">
        <f t="shared" si="7"/>
        <v>7.42229999999992</v>
      </c>
    </row>
    <row r="19" spans="1:16" x14ac:dyDescent="0.5">
      <c r="A19" t="s">
        <v>245</v>
      </c>
      <c r="B19" t="str">
        <f t="shared" si="10"/>
        <v>BLK20xFRM55xARM55</v>
      </c>
      <c r="C19">
        <v>20</v>
      </c>
      <c r="D19">
        <v>55</v>
      </c>
      <c r="E19">
        <v>55</v>
      </c>
      <c r="G19">
        <v>100000</v>
      </c>
      <c r="H19">
        <v>49912</v>
      </c>
      <c r="I19" s="3">
        <f t="shared" si="11"/>
        <v>50088</v>
      </c>
      <c r="J19">
        <v>415769</v>
      </c>
      <c r="K19">
        <v>416786</v>
      </c>
      <c r="L19" s="9">
        <f t="shared" ref="L19:L22" si="19">H19/G19</f>
        <v>0.49912000000000001</v>
      </c>
      <c r="M19" s="5">
        <f t="shared" ref="M19:M22" si="20">J19/G19</f>
        <v>4.1576899999999997</v>
      </c>
      <c r="N19" s="5">
        <f t="shared" ref="N19:N22" si="21">K19/G19</f>
        <v>4.1678600000000001</v>
      </c>
      <c r="O19" s="5">
        <f t="shared" ref="O19:O22" si="22">(L19-$L$86)*162</f>
        <v>-5.453999999999759E-2</v>
      </c>
      <c r="P19" s="4">
        <f t="shared" ref="P19:P22" si="23">-(N19-$N$86)*162</f>
        <v>-1.9704600000000312</v>
      </c>
    </row>
    <row r="20" spans="1:16" x14ac:dyDescent="0.5">
      <c r="A20" t="s">
        <v>245</v>
      </c>
      <c r="B20" t="str">
        <f t="shared" si="10"/>
        <v>BLK80xFRM55xARM55</v>
      </c>
      <c r="C20">
        <v>80</v>
      </c>
      <c r="D20">
        <v>55</v>
      </c>
      <c r="E20">
        <v>55</v>
      </c>
      <c r="G20">
        <v>100000</v>
      </c>
      <c r="H20">
        <v>50503</v>
      </c>
      <c r="I20" s="3">
        <f t="shared" si="11"/>
        <v>49497</v>
      </c>
      <c r="J20">
        <v>416326</v>
      </c>
      <c r="K20">
        <v>412752</v>
      </c>
      <c r="L20" s="9">
        <f t="shared" si="19"/>
        <v>0.50502999999999998</v>
      </c>
      <c r="M20" s="5">
        <f t="shared" si="20"/>
        <v>4.1632600000000002</v>
      </c>
      <c r="N20" s="5">
        <f t="shared" si="21"/>
        <v>4.1275199999999996</v>
      </c>
      <c r="O20" s="5">
        <f t="shared" si="22"/>
        <v>0.90287999999999768</v>
      </c>
      <c r="P20" s="4">
        <f t="shared" si="23"/>
        <v>4.5646200000000476</v>
      </c>
    </row>
    <row r="21" spans="1:16" x14ac:dyDescent="0.5">
      <c r="A21" t="s">
        <v>245</v>
      </c>
      <c r="B21" t="str">
        <f t="shared" si="10"/>
        <v>BLK55xFRM55xARM20</v>
      </c>
      <c r="C21">
        <v>55</v>
      </c>
      <c r="D21">
        <v>55</v>
      </c>
      <c r="E21">
        <v>20</v>
      </c>
      <c r="G21">
        <v>100000</v>
      </c>
      <c r="H21">
        <v>49547</v>
      </c>
      <c r="I21" s="3">
        <f t="shared" si="11"/>
        <v>50453</v>
      </c>
      <c r="J21">
        <v>415813</v>
      </c>
      <c r="K21">
        <v>419820</v>
      </c>
      <c r="L21" s="9">
        <f t="shared" si="19"/>
        <v>0.49547000000000002</v>
      </c>
      <c r="M21" s="5">
        <f t="shared" si="20"/>
        <v>4.1581299999999999</v>
      </c>
      <c r="N21" s="5">
        <f t="shared" si="21"/>
        <v>4.1981999999999999</v>
      </c>
      <c r="O21" s="5">
        <f t="shared" si="22"/>
        <v>-0.64583999999999542</v>
      </c>
      <c r="P21" s="4">
        <f t="shared" si="23"/>
        <v>-6.8855400000000007</v>
      </c>
    </row>
    <row r="22" spans="1:16" x14ac:dyDescent="0.5">
      <c r="A22" t="s">
        <v>245</v>
      </c>
      <c r="B22" t="str">
        <f t="shared" si="10"/>
        <v>BLK55xFRM55xARM80</v>
      </c>
      <c r="C22">
        <v>55</v>
      </c>
      <c r="D22">
        <v>55</v>
      </c>
      <c r="E22">
        <v>80</v>
      </c>
      <c r="G22">
        <v>100000</v>
      </c>
      <c r="H22">
        <v>50045</v>
      </c>
      <c r="I22" s="3">
        <f t="shared" si="11"/>
        <v>49955</v>
      </c>
      <c r="J22">
        <v>415546</v>
      </c>
      <c r="K22">
        <v>414352</v>
      </c>
      <c r="L22" s="9">
        <f t="shared" si="19"/>
        <v>0.50044999999999995</v>
      </c>
      <c r="M22" s="5">
        <f t="shared" si="20"/>
        <v>4.1554599999999997</v>
      </c>
      <c r="N22" s="5">
        <f t="shared" si="21"/>
        <v>4.1435199999999996</v>
      </c>
      <c r="O22" s="5">
        <f t="shared" si="22"/>
        <v>0.16091999999999307</v>
      </c>
      <c r="P22" s="4">
        <f t="shared" si="23"/>
        <v>1.9726200000000453</v>
      </c>
    </row>
    <row r="23" spans="1:16" x14ac:dyDescent="0.5">
      <c r="A23" s="23" t="s">
        <v>171</v>
      </c>
      <c r="B23" s="18" t="s">
        <v>34</v>
      </c>
      <c r="C23" s="18">
        <v>35</v>
      </c>
      <c r="D23" s="18">
        <v>35</v>
      </c>
      <c r="E23" s="18">
        <v>35</v>
      </c>
      <c r="F23" s="18">
        <v>35</v>
      </c>
      <c r="G23" s="18">
        <v>100000</v>
      </c>
      <c r="H23" s="19">
        <f>AVERAGE(H4:H6)</f>
        <v>49945.666666666664</v>
      </c>
      <c r="I23" s="19">
        <f t="shared" ref="I23:I33" si="24">G23-H23</f>
        <v>50054.333333333336</v>
      </c>
      <c r="J23" s="19">
        <f>AVERAGE(J4:J6)</f>
        <v>414749</v>
      </c>
      <c r="K23" s="19">
        <f>AVERAGE(K4:K6)</f>
        <v>415569.66666666669</v>
      </c>
      <c r="L23" s="20">
        <f>H23/G23</f>
        <v>0.49945666666666666</v>
      </c>
      <c r="M23" s="21">
        <f>J23/G23</f>
        <v>4.1474900000000003</v>
      </c>
      <c r="N23" s="21">
        <f>K23/G23</f>
        <v>4.1556966666666666</v>
      </c>
      <c r="O23" s="21" t="s">
        <v>50</v>
      </c>
      <c r="P23" s="22" t="s">
        <v>50</v>
      </c>
    </row>
    <row r="24" spans="1:16" x14ac:dyDescent="0.5">
      <c r="A24" t="s">
        <v>171</v>
      </c>
      <c r="B24" t="str">
        <f t="shared" ref="B24:B33" si="25">_xlfn.CONCAT("RNG",C24,"xERR",D24,"xARM",E24,"xTDP",F24)</f>
        <v>RNG20xERR20xARM20xTDP20</v>
      </c>
      <c r="C24">
        <v>20</v>
      </c>
      <c r="D24">
        <v>20</v>
      </c>
      <c r="E24">
        <v>20</v>
      </c>
      <c r="F24">
        <v>20</v>
      </c>
      <c r="G24">
        <v>100000</v>
      </c>
      <c r="H24" s="3">
        <v>49736</v>
      </c>
      <c r="I24" s="3">
        <f t="shared" si="24"/>
        <v>50264</v>
      </c>
      <c r="J24" s="3">
        <v>415773</v>
      </c>
      <c r="K24" s="3">
        <v>417744</v>
      </c>
      <c r="L24" s="9">
        <f t="shared" ref="L24" si="26">H24/G24</f>
        <v>0.49736000000000002</v>
      </c>
      <c r="M24" s="5">
        <f t="shared" ref="M24" si="27">J24/G24</f>
        <v>4.1577299999999999</v>
      </c>
      <c r="N24" s="5">
        <f t="shared" ref="N24" si="28">K24/G24</f>
        <v>4.1774399999999998</v>
      </c>
      <c r="O24" s="5">
        <f>(L24-$L$86)*162</f>
        <v>-0.33965999999999497</v>
      </c>
      <c r="P24" s="4">
        <f>-(N24-$N$86)*162</f>
        <v>-3.5224199999999826</v>
      </c>
    </row>
    <row r="25" spans="1:16" x14ac:dyDescent="0.5">
      <c r="A25" t="s">
        <v>171</v>
      </c>
      <c r="B25" t="str">
        <f t="shared" si="25"/>
        <v>RNG80xERR80xARM80xTDP80</v>
      </c>
      <c r="C25">
        <v>80</v>
      </c>
      <c r="D25">
        <v>80</v>
      </c>
      <c r="E25">
        <v>80</v>
      </c>
      <c r="F25">
        <v>80</v>
      </c>
      <c r="G25">
        <v>100000</v>
      </c>
      <c r="H25" s="3">
        <v>50623</v>
      </c>
      <c r="I25" s="3">
        <f t="shared" si="24"/>
        <v>49377</v>
      </c>
      <c r="J25" s="3">
        <v>415236</v>
      </c>
      <c r="K25" s="3">
        <v>409497</v>
      </c>
      <c r="L25" s="9">
        <f t="shared" ref="L25" si="29">H25/G25</f>
        <v>0.50622999999999996</v>
      </c>
      <c r="M25" s="5">
        <f t="shared" ref="M25" si="30">J25/G25</f>
        <v>4.1523599999999998</v>
      </c>
      <c r="N25" s="5">
        <f t="shared" ref="N25" si="31">K25/G25</f>
        <v>4.09497</v>
      </c>
      <c r="O25" s="5">
        <f>(L25-$L$86)*162</f>
        <v>1.0972799999999943</v>
      </c>
      <c r="P25" s="4">
        <f>-(N25-$N$86)*162</f>
        <v>9.8377199999999885</v>
      </c>
    </row>
    <row r="26" spans="1:16" x14ac:dyDescent="0.5">
      <c r="A26" t="s">
        <v>171</v>
      </c>
      <c r="B26" t="str">
        <f t="shared" si="25"/>
        <v>RNG20xERR35xARM35xTDP35</v>
      </c>
      <c r="C26">
        <v>20</v>
      </c>
      <c r="D26">
        <v>35</v>
      </c>
      <c r="E26">
        <v>35</v>
      </c>
      <c r="F26">
        <v>35</v>
      </c>
      <c r="G26">
        <v>100000</v>
      </c>
      <c r="H26" s="3">
        <v>50116</v>
      </c>
      <c r="I26" s="3">
        <f t="shared" si="24"/>
        <v>49884</v>
      </c>
      <c r="J26" s="3">
        <v>416917</v>
      </c>
      <c r="K26" s="3">
        <v>416667</v>
      </c>
      <c r="L26" s="9">
        <f t="shared" ref="L26:L33" si="32">H26/G26</f>
        <v>0.50116000000000005</v>
      </c>
      <c r="M26" s="5">
        <f t="shared" ref="M26:M33" si="33">J26/G26</f>
        <v>4.1691700000000003</v>
      </c>
      <c r="N26" s="5">
        <f t="shared" ref="N26:N33" si="34">K26/G26</f>
        <v>4.1666699999999999</v>
      </c>
      <c r="O26" s="5">
        <f t="shared" ref="O26:O33" si="35">(L26-$L$86)*162</f>
        <v>0.27594000000000918</v>
      </c>
      <c r="P26" s="4">
        <f t="shared" ref="P26:P33" si="36">-(N26-$N$86)*162</f>
        <v>-1.7776799999999913</v>
      </c>
    </row>
    <row r="27" spans="1:16" x14ac:dyDescent="0.5">
      <c r="A27" t="s">
        <v>171</v>
      </c>
      <c r="B27" t="str">
        <f t="shared" si="25"/>
        <v>RNG80xERR35xARM35xTDP35</v>
      </c>
      <c r="C27">
        <v>80</v>
      </c>
      <c r="D27">
        <v>35</v>
      </c>
      <c r="E27">
        <v>35</v>
      </c>
      <c r="F27">
        <v>35</v>
      </c>
      <c r="G27">
        <v>100000</v>
      </c>
      <c r="H27" s="3">
        <v>50562</v>
      </c>
      <c r="I27" s="3">
        <f t="shared" si="24"/>
        <v>49438</v>
      </c>
      <c r="J27" s="3">
        <v>415923</v>
      </c>
      <c r="K27" s="3">
        <v>411393</v>
      </c>
      <c r="L27" s="9">
        <f t="shared" si="32"/>
        <v>0.50561999999999996</v>
      </c>
      <c r="M27" s="5">
        <f t="shared" si="33"/>
        <v>4.15923</v>
      </c>
      <c r="N27" s="5">
        <f t="shared" si="34"/>
        <v>4.1139299999999999</v>
      </c>
      <c r="O27" s="5">
        <f t="shared" si="35"/>
        <v>0.99845999999999435</v>
      </c>
      <c r="P27" s="4">
        <f t="shared" si="36"/>
        <v>6.7662000000000102</v>
      </c>
    </row>
    <row r="28" spans="1:16" x14ac:dyDescent="0.5">
      <c r="A28" t="s">
        <v>171</v>
      </c>
      <c r="B28" t="str">
        <f t="shared" si="25"/>
        <v>RNG35xERR20xARM35xTDP35</v>
      </c>
      <c r="C28">
        <v>35</v>
      </c>
      <c r="D28">
        <v>20</v>
      </c>
      <c r="E28">
        <v>35</v>
      </c>
      <c r="F28">
        <v>35</v>
      </c>
      <c r="G28">
        <v>100000</v>
      </c>
      <c r="H28" s="3">
        <v>49786</v>
      </c>
      <c r="I28" s="3">
        <f t="shared" si="24"/>
        <v>50214</v>
      </c>
      <c r="J28" s="3">
        <v>414940</v>
      </c>
      <c r="K28" s="3">
        <v>415168</v>
      </c>
      <c r="L28" s="9">
        <f t="shared" si="32"/>
        <v>0.49786000000000002</v>
      </c>
      <c r="M28" s="5">
        <f t="shared" si="33"/>
        <v>4.1494</v>
      </c>
      <c r="N28" s="5">
        <f t="shared" si="34"/>
        <v>4.1516799999999998</v>
      </c>
      <c r="O28" s="5">
        <f t="shared" si="35"/>
        <v>-0.25865999999999489</v>
      </c>
      <c r="P28" s="4">
        <f t="shared" si="36"/>
        <v>0.65070000000001826</v>
      </c>
    </row>
    <row r="29" spans="1:16" x14ac:dyDescent="0.5">
      <c r="A29" t="s">
        <v>171</v>
      </c>
      <c r="B29" t="str">
        <f t="shared" si="25"/>
        <v>RNG35xERR80xARM35xTDP35</v>
      </c>
      <c r="C29">
        <v>35</v>
      </c>
      <c r="D29">
        <v>80</v>
      </c>
      <c r="E29">
        <v>35</v>
      </c>
      <c r="F29">
        <v>35</v>
      </c>
      <c r="G29">
        <v>100000</v>
      </c>
      <c r="H29" s="3">
        <v>49936</v>
      </c>
      <c r="I29" s="3">
        <f t="shared" si="24"/>
        <v>50064</v>
      </c>
      <c r="J29" s="3">
        <v>415303</v>
      </c>
      <c r="K29" s="3">
        <v>414700</v>
      </c>
      <c r="L29" s="9">
        <f t="shared" si="32"/>
        <v>0.49936000000000003</v>
      </c>
      <c r="M29" s="5">
        <f t="shared" si="33"/>
        <v>4.1530300000000002</v>
      </c>
      <c r="N29" s="5">
        <f t="shared" si="34"/>
        <v>4.1470000000000002</v>
      </c>
      <c r="O29" s="5">
        <f t="shared" si="35"/>
        <v>-1.5659999999994678E-2</v>
      </c>
      <c r="P29" s="4">
        <f t="shared" si="36"/>
        <v>1.4088599999999492</v>
      </c>
    </row>
    <row r="30" spans="1:16" x14ac:dyDescent="0.5">
      <c r="A30" t="s">
        <v>171</v>
      </c>
      <c r="B30" t="str">
        <f t="shared" si="25"/>
        <v>RNG35xERR35xARM20xTDP35</v>
      </c>
      <c r="C30">
        <v>35</v>
      </c>
      <c r="D30">
        <v>35</v>
      </c>
      <c r="E30">
        <v>20</v>
      </c>
      <c r="F30">
        <v>35</v>
      </c>
      <c r="G30">
        <v>100000</v>
      </c>
      <c r="H30" s="3">
        <v>49989</v>
      </c>
      <c r="I30" s="3">
        <f t="shared" si="24"/>
        <v>50011</v>
      </c>
      <c r="J30" s="3">
        <v>414308</v>
      </c>
      <c r="K30" s="3">
        <v>413795</v>
      </c>
      <c r="L30" s="9">
        <f t="shared" si="32"/>
        <v>0.49989</v>
      </c>
      <c r="M30" s="5">
        <f t="shared" si="33"/>
        <v>4.1430800000000003</v>
      </c>
      <c r="N30" s="5">
        <f t="shared" si="34"/>
        <v>4.13795</v>
      </c>
      <c r="O30" s="5">
        <f t="shared" si="35"/>
        <v>7.0200000000001261E-2</v>
      </c>
      <c r="P30" s="4">
        <f t="shared" si="36"/>
        <v>2.8749599999999855</v>
      </c>
    </row>
    <row r="31" spans="1:16" x14ac:dyDescent="0.5">
      <c r="A31" t="s">
        <v>171</v>
      </c>
      <c r="B31" t="str">
        <f t="shared" si="25"/>
        <v>RNG35xERR35xARM80xTDP35</v>
      </c>
      <c r="C31">
        <v>35</v>
      </c>
      <c r="D31">
        <v>35</v>
      </c>
      <c r="E31">
        <v>80</v>
      </c>
      <c r="F31">
        <v>35</v>
      </c>
      <c r="G31">
        <v>100000</v>
      </c>
      <c r="H31" s="3">
        <v>50205</v>
      </c>
      <c r="I31" s="3">
        <f t="shared" si="24"/>
        <v>49795</v>
      </c>
      <c r="J31" s="3">
        <v>414767</v>
      </c>
      <c r="K31" s="3">
        <v>413321</v>
      </c>
      <c r="L31" s="9">
        <f t="shared" si="32"/>
        <v>0.50205</v>
      </c>
      <c r="M31" s="5">
        <f t="shared" si="33"/>
        <v>4.1476699999999997</v>
      </c>
      <c r="N31" s="5">
        <f t="shared" si="34"/>
        <v>4.1332100000000001</v>
      </c>
      <c r="O31" s="5">
        <f t="shared" si="35"/>
        <v>0.42012000000000049</v>
      </c>
      <c r="P31" s="4">
        <f t="shared" si="36"/>
        <v>3.6428399999999801</v>
      </c>
    </row>
    <row r="32" spans="1:16" x14ac:dyDescent="0.5">
      <c r="A32" t="s">
        <v>171</v>
      </c>
      <c r="B32" t="str">
        <f t="shared" si="25"/>
        <v>RNG35xERR35xARM35xTDP20</v>
      </c>
      <c r="C32">
        <v>35</v>
      </c>
      <c r="D32">
        <v>35</v>
      </c>
      <c r="E32">
        <v>35</v>
      </c>
      <c r="F32">
        <v>20</v>
      </c>
      <c r="G32">
        <v>100000</v>
      </c>
      <c r="H32" s="3">
        <v>50410</v>
      </c>
      <c r="I32" s="3">
        <f t="shared" si="24"/>
        <v>49590</v>
      </c>
      <c r="J32" s="3">
        <v>417865</v>
      </c>
      <c r="K32" s="3">
        <v>414187</v>
      </c>
      <c r="L32" s="9">
        <f t="shared" si="32"/>
        <v>0.50409999999999999</v>
      </c>
      <c r="M32" s="5">
        <f t="shared" si="33"/>
        <v>4.1786500000000002</v>
      </c>
      <c r="N32" s="5">
        <f t="shared" si="34"/>
        <v>4.1418699999999999</v>
      </c>
      <c r="O32" s="5">
        <f t="shared" si="35"/>
        <v>0.75221999999999989</v>
      </c>
      <c r="P32" s="4">
        <f t="shared" si="36"/>
        <v>2.2399199999999979</v>
      </c>
    </row>
    <row r="33" spans="1:16" x14ac:dyDescent="0.5">
      <c r="A33" t="s">
        <v>171</v>
      </c>
      <c r="B33" t="str">
        <f t="shared" si="25"/>
        <v>RNG35xERR35xARM35xTDP80</v>
      </c>
      <c r="C33">
        <v>35</v>
      </c>
      <c r="D33">
        <v>35</v>
      </c>
      <c r="E33">
        <v>35</v>
      </c>
      <c r="F33">
        <v>80</v>
      </c>
      <c r="G33">
        <v>100000</v>
      </c>
      <c r="H33" s="3">
        <v>50115</v>
      </c>
      <c r="I33" s="3">
        <f t="shared" si="24"/>
        <v>49885</v>
      </c>
      <c r="J33" s="3">
        <v>415640</v>
      </c>
      <c r="K33" s="3">
        <v>414673</v>
      </c>
      <c r="L33" s="9">
        <f t="shared" si="32"/>
        <v>0.50114999999999998</v>
      </c>
      <c r="M33" s="5">
        <f t="shared" si="33"/>
        <v>4.1563999999999997</v>
      </c>
      <c r="N33" s="5">
        <f t="shared" si="34"/>
        <v>4.1467299999999998</v>
      </c>
      <c r="O33" s="5">
        <f t="shared" si="35"/>
        <v>0.27431999999999856</v>
      </c>
      <c r="P33" s="4">
        <f t="shared" si="36"/>
        <v>1.4526000000000199</v>
      </c>
    </row>
    <row r="34" spans="1:16" x14ac:dyDescent="0.5">
      <c r="A34" s="23" t="s">
        <v>5</v>
      </c>
      <c r="B34" s="18" t="s">
        <v>34</v>
      </c>
      <c r="C34" s="18">
        <v>55</v>
      </c>
      <c r="D34" s="18">
        <v>55</v>
      </c>
      <c r="E34" s="18">
        <v>50</v>
      </c>
      <c r="F34" s="18">
        <v>55</v>
      </c>
      <c r="G34" s="18">
        <v>100000</v>
      </c>
      <c r="H34" s="19">
        <v>49945.666666666664</v>
      </c>
      <c r="I34" s="19">
        <v>50054.333333333336</v>
      </c>
      <c r="J34" s="19">
        <v>414749</v>
      </c>
      <c r="K34" s="19">
        <v>415569.66666666669</v>
      </c>
      <c r="L34" s="20">
        <v>0.49945666666666666</v>
      </c>
      <c r="M34" s="21">
        <v>4.1474900000000003</v>
      </c>
      <c r="N34" s="21">
        <v>4.1556966666666666</v>
      </c>
      <c r="O34" s="21" t="s">
        <v>50</v>
      </c>
      <c r="P34" s="22" t="s">
        <v>50</v>
      </c>
    </row>
    <row r="35" spans="1:16" x14ac:dyDescent="0.5">
      <c r="A35" t="s">
        <v>5</v>
      </c>
      <c r="B35" t="str">
        <f t="shared" ref="B35:B43" si="37">_xlfn.CONCAT("RNG",C35,"xERR",D35,"xARM",E35,"xTDP",F35)</f>
        <v>RNG20xERR20xARM20xTDP20</v>
      </c>
      <c r="C35">
        <v>20</v>
      </c>
      <c r="D35">
        <v>20</v>
      </c>
      <c r="E35">
        <v>20</v>
      </c>
      <c r="F35">
        <v>20</v>
      </c>
      <c r="G35">
        <v>100000</v>
      </c>
      <c r="H35" s="3">
        <v>46275</v>
      </c>
      <c r="I35" s="3">
        <f t="shared" ref="I35:I85" si="38">G35-H35</f>
        <v>53725</v>
      </c>
      <c r="J35" s="3">
        <v>414601</v>
      </c>
      <c r="K35" s="3">
        <v>451988</v>
      </c>
      <c r="L35" s="9">
        <f t="shared" ref="L35" si="39">H35/G35</f>
        <v>0.46274999999999999</v>
      </c>
      <c r="M35" s="5">
        <f t="shared" ref="M35" si="40">J35/G35</f>
        <v>4.1460100000000004</v>
      </c>
      <c r="N35" s="5">
        <f t="shared" ref="N35" si="41">K35/G35</f>
        <v>4.5198799999999997</v>
      </c>
      <c r="O35" s="5">
        <f t="shared" ref="O35:O43" si="42">(L35-$L$86)*162</f>
        <v>-5.9464799999999993</v>
      </c>
      <c r="P35" s="4">
        <f t="shared" ref="P35:P43" si="43">-(N35-$N$86)*162</f>
        <v>-58.997699999999959</v>
      </c>
    </row>
    <row r="36" spans="1:16" x14ac:dyDescent="0.5">
      <c r="A36" t="s">
        <v>5</v>
      </c>
      <c r="B36" t="str">
        <f t="shared" si="37"/>
        <v>RNG80xERR80xARM80xTDP80</v>
      </c>
      <c r="C36">
        <v>80</v>
      </c>
      <c r="D36">
        <v>80</v>
      </c>
      <c r="E36">
        <v>80</v>
      </c>
      <c r="F36">
        <v>80</v>
      </c>
      <c r="G36">
        <v>100000</v>
      </c>
      <c r="H36" s="3">
        <v>50523</v>
      </c>
      <c r="I36" s="3">
        <f>G36-H36</f>
        <v>49477</v>
      </c>
      <c r="J36" s="3">
        <v>415708</v>
      </c>
      <c r="K36" s="3">
        <v>410767</v>
      </c>
      <c r="L36" s="9">
        <f>H36/G36</f>
        <v>0.50522999999999996</v>
      </c>
      <c r="M36" s="5">
        <f>J36/G36</f>
        <v>4.1570799999999997</v>
      </c>
      <c r="N36" s="5">
        <f>K36/G36</f>
        <v>4.1076699999999997</v>
      </c>
      <c r="O36" s="5">
        <f t="shared" si="42"/>
        <v>0.93527999999999412</v>
      </c>
      <c r="P36" s="4">
        <f t="shared" si="43"/>
        <v>7.7803200000000352</v>
      </c>
    </row>
    <row r="37" spans="1:16" x14ac:dyDescent="0.5">
      <c r="A37" t="s">
        <v>5</v>
      </c>
      <c r="B37" t="str">
        <f t="shared" si="37"/>
        <v>RNG20xERR55xARM50xTDP55</v>
      </c>
      <c r="C37">
        <v>20</v>
      </c>
      <c r="D37">
        <v>55</v>
      </c>
      <c r="E37">
        <v>50</v>
      </c>
      <c r="F37">
        <v>55</v>
      </c>
      <c r="G37">
        <v>100000</v>
      </c>
      <c r="H37" s="3">
        <v>47665</v>
      </c>
      <c r="I37" s="3">
        <f>G37-H37</f>
        <v>52335</v>
      </c>
      <c r="J37" s="3">
        <v>416656</v>
      </c>
      <c r="K37" s="3">
        <v>438463</v>
      </c>
      <c r="L37" s="9">
        <f>H37/G37</f>
        <v>0.47665000000000002</v>
      </c>
      <c r="M37" s="5">
        <f>J37/G37</f>
        <v>4.1665599999999996</v>
      </c>
      <c r="N37" s="5">
        <f>K37/G37</f>
        <v>4.3846299999999996</v>
      </c>
      <c r="O37" s="5">
        <f t="shared" si="42"/>
        <v>-3.694679999999996</v>
      </c>
      <c r="P37" s="4">
        <f t="shared" si="43"/>
        <v>-37.087199999999946</v>
      </c>
    </row>
    <row r="38" spans="1:16" x14ac:dyDescent="0.5">
      <c r="A38" t="s">
        <v>5</v>
      </c>
      <c r="B38" t="str">
        <f t="shared" si="37"/>
        <v>RNG40xERR55xARM50xTDP55</v>
      </c>
      <c r="C38">
        <v>40</v>
      </c>
      <c r="D38">
        <v>55</v>
      </c>
      <c r="E38">
        <v>50</v>
      </c>
      <c r="F38">
        <v>55</v>
      </c>
      <c r="G38">
        <v>100000</v>
      </c>
      <c r="H38" s="3">
        <v>47778</v>
      </c>
      <c r="I38" s="3">
        <f>G38-H38</f>
        <v>52222</v>
      </c>
      <c r="J38" s="3">
        <v>413683</v>
      </c>
      <c r="K38" s="3">
        <v>435437</v>
      </c>
      <c r="L38" s="9">
        <f>H38/G38</f>
        <v>0.47777999999999998</v>
      </c>
      <c r="M38" s="5">
        <f t="shared" ref="M38:M43" si="44">J38/G38</f>
        <v>4.1368299999999998</v>
      </c>
      <c r="N38" s="5">
        <f t="shared" ref="N38:N43" si="45">K38/G38</f>
        <v>4.3543700000000003</v>
      </c>
      <c r="O38" s="5">
        <f t="shared" si="42"/>
        <v>-3.5116200000000015</v>
      </c>
      <c r="P38" s="4">
        <f t="shared" si="43"/>
        <v>-32.185080000000056</v>
      </c>
    </row>
    <row r="39" spans="1:16" x14ac:dyDescent="0.5">
      <c r="A39" t="s">
        <v>5</v>
      </c>
      <c r="B39" t="str">
        <f t="shared" si="37"/>
        <v>RNG50xERR55xARM50xTDP55</v>
      </c>
      <c r="C39">
        <v>50</v>
      </c>
      <c r="D39">
        <v>55</v>
      </c>
      <c r="E39">
        <v>50</v>
      </c>
      <c r="F39">
        <v>55</v>
      </c>
      <c r="G39">
        <v>100000</v>
      </c>
      <c r="H39" s="3">
        <v>48526</v>
      </c>
      <c r="I39" s="3">
        <f>G39-H39</f>
        <v>51474</v>
      </c>
      <c r="J39" s="3">
        <v>415551</v>
      </c>
      <c r="K39" s="3">
        <v>431220</v>
      </c>
      <c r="L39" s="9">
        <f>H39/G39</f>
        <v>0.48526000000000002</v>
      </c>
      <c r="M39" s="5">
        <f t="shared" si="44"/>
        <v>4.1555099999999996</v>
      </c>
      <c r="N39" s="5">
        <f t="shared" si="45"/>
        <v>4.3121999999999998</v>
      </c>
      <c r="O39" s="5">
        <f t="shared" si="42"/>
        <v>-2.2998599999999949</v>
      </c>
      <c r="P39" s="4">
        <f t="shared" si="43"/>
        <v>-25.353539999999981</v>
      </c>
    </row>
    <row r="40" spans="1:16" x14ac:dyDescent="0.5">
      <c r="A40" t="s">
        <v>5</v>
      </c>
      <c r="B40" t="str">
        <f t="shared" si="37"/>
        <v>RNG60xERR55xARM50xTDP55</v>
      </c>
      <c r="C40">
        <v>60</v>
      </c>
      <c r="D40">
        <v>55</v>
      </c>
      <c r="E40">
        <v>50</v>
      </c>
      <c r="F40">
        <v>55</v>
      </c>
      <c r="G40">
        <v>100000</v>
      </c>
      <c r="H40" s="3">
        <v>50026</v>
      </c>
      <c r="I40" s="3">
        <f t="shared" si="38"/>
        <v>49974</v>
      </c>
      <c r="J40" s="3">
        <v>414326</v>
      </c>
      <c r="K40" s="3">
        <v>413870</v>
      </c>
      <c r="L40" s="9">
        <f t="shared" ref="L40:L43" si="46">H40/G40</f>
        <v>0.50026000000000004</v>
      </c>
      <c r="M40" s="5">
        <f t="shared" si="44"/>
        <v>4.1432599999999997</v>
      </c>
      <c r="N40" s="5">
        <f t="shared" si="45"/>
        <v>4.1387</v>
      </c>
      <c r="O40" s="5">
        <f t="shared" si="42"/>
        <v>0.13014000000000725</v>
      </c>
      <c r="P40" s="4">
        <f t="shared" si="43"/>
        <v>2.7534599999999809</v>
      </c>
    </row>
    <row r="41" spans="1:16" x14ac:dyDescent="0.5">
      <c r="A41" t="s">
        <v>5</v>
      </c>
      <c r="B41" t="str">
        <f t="shared" si="37"/>
        <v>RNG65xERR55xARM50xTDP55</v>
      </c>
      <c r="C41">
        <v>65</v>
      </c>
      <c r="D41">
        <v>55</v>
      </c>
      <c r="E41">
        <v>50</v>
      </c>
      <c r="F41">
        <v>55</v>
      </c>
      <c r="G41">
        <v>100000</v>
      </c>
      <c r="H41" s="3">
        <v>49941</v>
      </c>
      <c r="I41" s="3">
        <f t="shared" si="38"/>
        <v>50059</v>
      </c>
      <c r="J41" s="3">
        <v>414630</v>
      </c>
      <c r="K41" s="3">
        <v>414048</v>
      </c>
      <c r="L41" s="9">
        <f t="shared" si="46"/>
        <v>0.49941000000000002</v>
      </c>
      <c r="M41" s="5">
        <f t="shared" si="44"/>
        <v>4.1463000000000001</v>
      </c>
      <c r="N41" s="5">
        <f t="shared" si="45"/>
        <v>4.1404800000000002</v>
      </c>
      <c r="O41" s="5">
        <f t="shared" si="42"/>
        <v>-7.5599999999955703E-3</v>
      </c>
      <c r="P41" s="4">
        <f t="shared" si="43"/>
        <v>2.4650999999999623</v>
      </c>
    </row>
    <row r="42" spans="1:16" x14ac:dyDescent="0.5">
      <c r="A42" t="s">
        <v>5</v>
      </c>
      <c r="B42" t="str">
        <f t="shared" si="37"/>
        <v>RNG70xERR55xARM50xTDP55</v>
      </c>
      <c r="C42">
        <v>70</v>
      </c>
      <c r="D42">
        <v>55</v>
      </c>
      <c r="E42">
        <v>50</v>
      </c>
      <c r="F42">
        <v>55</v>
      </c>
      <c r="G42">
        <v>100000</v>
      </c>
      <c r="H42" s="3">
        <v>50060</v>
      </c>
      <c r="I42" s="3">
        <f t="shared" si="38"/>
        <v>49940</v>
      </c>
      <c r="J42" s="3">
        <v>415341</v>
      </c>
      <c r="K42" s="3">
        <v>414307</v>
      </c>
      <c r="L42" s="9">
        <f t="shared" si="46"/>
        <v>0.50060000000000004</v>
      </c>
      <c r="M42" s="5">
        <f t="shared" si="44"/>
        <v>4.15341</v>
      </c>
      <c r="N42" s="5">
        <f t="shared" si="45"/>
        <v>4.1430699999999998</v>
      </c>
      <c r="O42" s="5">
        <f t="shared" si="42"/>
        <v>0.18522000000000838</v>
      </c>
      <c r="P42" s="4">
        <f t="shared" si="43"/>
        <v>2.0455200000000193</v>
      </c>
    </row>
    <row r="43" spans="1:16" x14ac:dyDescent="0.5">
      <c r="A43" t="s">
        <v>5</v>
      </c>
      <c r="B43" t="str">
        <f t="shared" si="37"/>
        <v>RNG80xERR55xARM50xTDP55</v>
      </c>
      <c r="C43">
        <v>80</v>
      </c>
      <c r="D43">
        <v>55</v>
      </c>
      <c r="E43">
        <v>50</v>
      </c>
      <c r="F43">
        <v>55</v>
      </c>
      <c r="G43">
        <v>100000</v>
      </c>
      <c r="H43" s="3">
        <v>49922</v>
      </c>
      <c r="I43" s="3">
        <f t="shared" si="38"/>
        <v>50078</v>
      </c>
      <c r="J43" s="3">
        <v>415474</v>
      </c>
      <c r="K43" s="3">
        <v>415755</v>
      </c>
      <c r="L43" s="9">
        <f t="shared" si="46"/>
        <v>0.49922</v>
      </c>
      <c r="M43" s="5">
        <f t="shared" si="44"/>
        <v>4.1547400000000003</v>
      </c>
      <c r="N43" s="5">
        <f t="shared" si="45"/>
        <v>4.1575499999999996</v>
      </c>
      <c r="O43" s="5">
        <f t="shared" si="42"/>
        <v>-3.8339999999999375E-2</v>
      </c>
      <c r="P43" s="4">
        <f t="shared" si="43"/>
        <v>-0.30023999999995254</v>
      </c>
    </row>
    <row r="44" spans="1:16" x14ac:dyDescent="0.5">
      <c r="A44" t="s">
        <v>5</v>
      </c>
      <c r="B44" t="str">
        <f t="shared" ref="B44:B51" si="47">_xlfn.CONCAT("RNG",C44,"xERR",D44,"xARM",E44,"xTDP",F44)</f>
        <v>RNG55xERR55xARM50xTDP20</v>
      </c>
      <c r="C44">
        <v>55</v>
      </c>
      <c r="D44">
        <v>55</v>
      </c>
      <c r="E44">
        <v>50</v>
      </c>
      <c r="F44">
        <v>20</v>
      </c>
      <c r="G44">
        <v>100000</v>
      </c>
      <c r="H44" s="3">
        <v>48722</v>
      </c>
      <c r="I44" s="3">
        <f t="shared" si="38"/>
        <v>51278</v>
      </c>
      <c r="J44" s="3">
        <v>415126</v>
      </c>
      <c r="K44" s="3">
        <v>427132</v>
      </c>
      <c r="L44" s="9">
        <f t="shared" ref="L44:L51" si="48">H44/G44</f>
        <v>0.48721999999999999</v>
      </c>
      <c r="M44" s="5">
        <f t="shared" ref="M44:M51" si="49">J44/G44</f>
        <v>4.1512599999999997</v>
      </c>
      <c r="N44" s="5">
        <f t="shared" ref="N44:N51" si="50">K44/G44</f>
        <v>4.2713200000000002</v>
      </c>
      <c r="O44" s="5">
        <f t="shared" ref="O44:O51" si="51">(L44-$L$86)*162</f>
        <v>-1.9823400000000011</v>
      </c>
      <c r="P44" s="4">
        <f t="shared" ref="P44:P51" si="52">-(N44-$N$86)*162</f>
        <v>-18.730980000000049</v>
      </c>
    </row>
    <row r="45" spans="1:16" x14ac:dyDescent="0.5">
      <c r="A45" t="s">
        <v>5</v>
      </c>
      <c r="B45" t="str">
        <f t="shared" si="47"/>
        <v>RNG55xERR55xARM50xTDP40</v>
      </c>
      <c r="C45">
        <v>55</v>
      </c>
      <c r="D45">
        <v>55</v>
      </c>
      <c r="E45">
        <v>50</v>
      </c>
      <c r="F45">
        <v>40</v>
      </c>
      <c r="G45">
        <v>100000</v>
      </c>
      <c r="H45" s="3">
        <v>49437</v>
      </c>
      <c r="I45" s="3">
        <f t="shared" si="38"/>
        <v>50563</v>
      </c>
      <c r="J45" s="3">
        <v>414557</v>
      </c>
      <c r="K45" s="3">
        <v>419520</v>
      </c>
      <c r="L45" s="9">
        <f t="shared" si="48"/>
        <v>0.49436999999999998</v>
      </c>
      <c r="M45" s="5">
        <f t="shared" si="49"/>
        <v>4.1455700000000002</v>
      </c>
      <c r="N45" s="5">
        <f t="shared" si="50"/>
        <v>4.1951999999999998</v>
      </c>
      <c r="O45" s="5">
        <f t="shared" si="51"/>
        <v>-0.82404000000000277</v>
      </c>
      <c r="P45" s="4">
        <f t="shared" si="52"/>
        <v>-6.3995399999999822</v>
      </c>
    </row>
    <row r="46" spans="1:16" x14ac:dyDescent="0.5">
      <c r="A46" t="s">
        <v>5</v>
      </c>
      <c r="B46" t="str">
        <f t="shared" si="47"/>
        <v>RNG55xERR55xARM50xTDP45</v>
      </c>
      <c r="C46">
        <v>55</v>
      </c>
      <c r="D46">
        <v>55</v>
      </c>
      <c r="E46">
        <v>50</v>
      </c>
      <c r="F46">
        <v>45</v>
      </c>
      <c r="G46">
        <v>100000</v>
      </c>
      <c r="H46" s="3">
        <v>49659</v>
      </c>
      <c r="I46" s="3">
        <f t="shared" si="38"/>
        <v>50341</v>
      </c>
      <c r="J46" s="3">
        <v>415019</v>
      </c>
      <c r="K46" s="3">
        <v>419119</v>
      </c>
      <c r="L46" s="9">
        <f t="shared" si="48"/>
        <v>0.49658999999999998</v>
      </c>
      <c r="M46" s="5">
        <f t="shared" si="49"/>
        <v>4.1501900000000003</v>
      </c>
      <c r="N46" s="5">
        <f t="shared" si="50"/>
        <v>4.1911899999999997</v>
      </c>
      <c r="O46" s="5">
        <f t="shared" si="51"/>
        <v>-0.46440000000000281</v>
      </c>
      <c r="P46" s="4">
        <f t="shared" si="52"/>
        <v>-5.7499199999999711</v>
      </c>
    </row>
    <row r="47" spans="1:16" x14ac:dyDescent="0.5">
      <c r="A47" t="s">
        <v>5</v>
      </c>
      <c r="B47" t="str">
        <f t="shared" si="47"/>
        <v>RNG55xERR55xARM50xTDP50</v>
      </c>
      <c r="C47">
        <v>55</v>
      </c>
      <c r="D47">
        <v>55</v>
      </c>
      <c r="E47">
        <v>50</v>
      </c>
      <c r="F47">
        <v>50</v>
      </c>
      <c r="G47">
        <v>100000</v>
      </c>
      <c r="H47" s="3">
        <v>49959</v>
      </c>
      <c r="I47" s="3">
        <f t="shared" si="38"/>
        <v>50041</v>
      </c>
      <c r="J47" s="3">
        <v>415882</v>
      </c>
      <c r="K47" s="3">
        <v>416647</v>
      </c>
      <c r="L47" s="9">
        <f t="shared" si="48"/>
        <v>0.49958999999999998</v>
      </c>
      <c r="M47" s="5">
        <f t="shared" si="49"/>
        <v>4.1588200000000004</v>
      </c>
      <c r="N47" s="5">
        <f t="shared" si="50"/>
        <v>4.1664700000000003</v>
      </c>
      <c r="O47" s="5">
        <f t="shared" si="51"/>
        <v>2.1599999999997621E-2</v>
      </c>
      <c r="P47" s="4">
        <f t="shared" si="52"/>
        <v>-1.7452800000000668</v>
      </c>
    </row>
    <row r="48" spans="1:16" x14ac:dyDescent="0.5">
      <c r="A48" t="s">
        <v>5</v>
      </c>
      <c r="B48" t="str">
        <f t="shared" si="47"/>
        <v>RNG55xERR55xARM50xTDP60</v>
      </c>
      <c r="C48">
        <v>55</v>
      </c>
      <c r="D48">
        <v>55</v>
      </c>
      <c r="E48">
        <v>50</v>
      </c>
      <c r="F48">
        <v>60</v>
      </c>
      <c r="G48">
        <v>100000</v>
      </c>
      <c r="H48" s="3">
        <v>50241</v>
      </c>
      <c r="I48" s="3">
        <f t="shared" si="38"/>
        <v>49759</v>
      </c>
      <c r="J48" s="3">
        <v>416462</v>
      </c>
      <c r="K48" s="3">
        <v>415017</v>
      </c>
      <c r="L48" s="9">
        <f t="shared" si="48"/>
        <v>0.50241000000000002</v>
      </c>
      <c r="M48" s="5">
        <f t="shared" si="49"/>
        <v>4.1646200000000002</v>
      </c>
      <c r="N48" s="5">
        <f t="shared" si="50"/>
        <v>4.1501700000000001</v>
      </c>
      <c r="O48" s="5">
        <f t="shared" si="51"/>
        <v>0.47844000000000486</v>
      </c>
      <c r="P48" s="4">
        <f t="shared" si="52"/>
        <v>0.89531999999996614</v>
      </c>
    </row>
    <row r="49" spans="1:16" x14ac:dyDescent="0.5">
      <c r="A49" t="s">
        <v>5</v>
      </c>
      <c r="B49" t="str">
        <f t="shared" si="47"/>
        <v>RNG55xERR55xARM50xTDP65</v>
      </c>
      <c r="C49">
        <v>55</v>
      </c>
      <c r="D49">
        <v>55</v>
      </c>
      <c r="E49">
        <v>50</v>
      </c>
      <c r="F49">
        <v>65</v>
      </c>
      <c r="G49">
        <v>100000</v>
      </c>
      <c r="H49" s="3">
        <v>50420</v>
      </c>
      <c r="I49" s="3">
        <f t="shared" si="38"/>
        <v>49580</v>
      </c>
      <c r="J49" s="3">
        <v>415386</v>
      </c>
      <c r="K49" s="3">
        <v>413124</v>
      </c>
      <c r="L49" s="9">
        <f t="shared" si="48"/>
        <v>0.50419999999999998</v>
      </c>
      <c r="M49" s="5">
        <f t="shared" si="49"/>
        <v>4.1538599999999999</v>
      </c>
      <c r="N49" s="5">
        <f t="shared" si="50"/>
        <v>4.13124</v>
      </c>
      <c r="O49" s="5">
        <f t="shared" si="51"/>
        <v>0.7684199999999981</v>
      </c>
      <c r="P49" s="4">
        <f t="shared" si="52"/>
        <v>3.9619799999999845</v>
      </c>
    </row>
    <row r="50" spans="1:16" x14ac:dyDescent="0.5">
      <c r="A50" t="s">
        <v>5</v>
      </c>
      <c r="B50" t="str">
        <f t="shared" si="47"/>
        <v>RNG55xERR55xARM50xTDP70</v>
      </c>
      <c r="C50">
        <v>55</v>
      </c>
      <c r="D50">
        <v>55</v>
      </c>
      <c r="E50">
        <v>50</v>
      </c>
      <c r="F50">
        <v>70</v>
      </c>
      <c r="G50">
        <v>100000</v>
      </c>
      <c r="H50" s="3">
        <v>50188</v>
      </c>
      <c r="I50" s="3">
        <f t="shared" si="38"/>
        <v>49812</v>
      </c>
      <c r="J50" s="3">
        <v>416959</v>
      </c>
      <c r="K50" s="3">
        <v>413184</v>
      </c>
      <c r="L50" s="9">
        <f t="shared" si="48"/>
        <v>0.50187999999999999</v>
      </c>
      <c r="M50" s="5">
        <f t="shared" si="49"/>
        <v>4.1695900000000004</v>
      </c>
      <c r="N50" s="5">
        <f t="shared" si="50"/>
        <v>4.1318400000000004</v>
      </c>
      <c r="O50" s="5">
        <f t="shared" si="51"/>
        <v>0.39257999999999993</v>
      </c>
      <c r="P50" s="4">
        <f t="shared" si="52"/>
        <v>3.8647799999999233</v>
      </c>
    </row>
    <row r="51" spans="1:16" x14ac:dyDescent="0.5">
      <c r="A51" t="s">
        <v>5</v>
      </c>
      <c r="B51" t="str">
        <f t="shared" si="47"/>
        <v>RNG55xERR55xARM50xTDP80</v>
      </c>
      <c r="C51">
        <v>55</v>
      </c>
      <c r="D51">
        <v>55</v>
      </c>
      <c r="E51">
        <v>50</v>
      </c>
      <c r="F51">
        <v>80</v>
      </c>
      <c r="G51">
        <v>100000</v>
      </c>
      <c r="H51" s="3">
        <v>50167</v>
      </c>
      <c r="I51" s="3">
        <f t="shared" si="38"/>
        <v>49833</v>
      </c>
      <c r="J51" s="3">
        <v>414169</v>
      </c>
      <c r="K51" s="3">
        <v>411403</v>
      </c>
      <c r="L51" s="9">
        <f t="shared" si="48"/>
        <v>0.50166999999999995</v>
      </c>
      <c r="M51" s="5">
        <f t="shared" si="49"/>
        <v>4.1416899999999996</v>
      </c>
      <c r="N51" s="5">
        <f t="shared" si="50"/>
        <v>4.1140299999999996</v>
      </c>
      <c r="O51" s="5">
        <f t="shared" si="51"/>
        <v>0.35855999999999288</v>
      </c>
      <c r="P51" s="4">
        <f t="shared" si="52"/>
        <v>6.750000000000048</v>
      </c>
    </row>
    <row r="52" spans="1:16" x14ac:dyDescent="0.5">
      <c r="A52" t="s">
        <v>5</v>
      </c>
      <c r="B52" t="str">
        <f t="shared" ref="B52:B58" si="53">_xlfn.CONCAT("RNG",C52,"xERR",D52,"xARM",E52,"xTDP",F52)</f>
        <v>RNG55xERR20xARM50xTDP55</v>
      </c>
      <c r="C52">
        <v>55</v>
      </c>
      <c r="D52">
        <v>20</v>
      </c>
      <c r="E52">
        <v>50</v>
      </c>
      <c r="F52">
        <v>55</v>
      </c>
      <c r="G52">
        <v>100000</v>
      </c>
      <c r="H52" s="3">
        <v>49578</v>
      </c>
      <c r="I52" s="3">
        <f t="shared" si="38"/>
        <v>50422</v>
      </c>
      <c r="J52" s="3">
        <v>415732</v>
      </c>
      <c r="K52" s="3">
        <v>418443</v>
      </c>
      <c r="L52" s="9">
        <f t="shared" ref="L52:L55" si="54">H52/G52</f>
        <v>0.49578</v>
      </c>
      <c r="M52" s="5">
        <f t="shared" ref="M52:M55" si="55">J52/G52</f>
        <v>4.1573200000000003</v>
      </c>
      <c r="N52" s="5">
        <f t="shared" ref="N52:N55" si="56">K52/G52</f>
        <v>4.1844299999999999</v>
      </c>
      <c r="O52" s="5">
        <f t="shared" ref="O52:O55" si="57">(L52-$L$86)*162</f>
        <v>-0.59561999999999915</v>
      </c>
      <c r="P52" s="4">
        <f t="shared" ref="P52:P55" si="58">-(N52-$N$86)*162</f>
        <v>-4.6547999999999909</v>
      </c>
    </row>
    <row r="53" spans="1:16" x14ac:dyDescent="0.5">
      <c r="A53" t="s">
        <v>5</v>
      </c>
      <c r="B53" t="str">
        <f t="shared" si="53"/>
        <v>RNG55xERR80xARM50xTDP55</v>
      </c>
      <c r="C53">
        <v>55</v>
      </c>
      <c r="D53">
        <v>80</v>
      </c>
      <c r="E53">
        <v>50</v>
      </c>
      <c r="F53">
        <v>55</v>
      </c>
      <c r="G53">
        <v>100000</v>
      </c>
      <c r="H53" s="3">
        <v>50188</v>
      </c>
      <c r="I53" s="3">
        <f t="shared" si="38"/>
        <v>49812</v>
      </c>
      <c r="J53" s="3">
        <v>414511</v>
      </c>
      <c r="K53" s="3">
        <v>413806</v>
      </c>
      <c r="L53" s="9">
        <f t="shared" si="54"/>
        <v>0.50187999999999999</v>
      </c>
      <c r="M53" s="5">
        <f t="shared" si="55"/>
        <v>4.1451099999999999</v>
      </c>
      <c r="N53" s="5">
        <f t="shared" si="56"/>
        <v>4.1380600000000003</v>
      </c>
      <c r="O53" s="5">
        <f t="shared" si="57"/>
        <v>0.39257999999999993</v>
      </c>
      <c r="P53" s="4">
        <f t="shared" si="58"/>
        <v>2.8571399999999407</v>
      </c>
    </row>
    <row r="54" spans="1:16" x14ac:dyDescent="0.5">
      <c r="A54" t="s">
        <v>5</v>
      </c>
      <c r="B54" t="str">
        <f t="shared" si="53"/>
        <v>RNG55xERR55xARM20xTDP55</v>
      </c>
      <c r="C54">
        <v>55</v>
      </c>
      <c r="D54">
        <v>55</v>
      </c>
      <c r="E54">
        <v>20</v>
      </c>
      <c r="F54">
        <v>55</v>
      </c>
      <c r="G54">
        <v>100000</v>
      </c>
      <c r="H54" s="3">
        <v>49190</v>
      </c>
      <c r="I54" s="3">
        <f t="shared" si="38"/>
        <v>50810</v>
      </c>
      <c r="J54" s="3">
        <v>415166</v>
      </c>
      <c r="K54" s="3">
        <v>422144</v>
      </c>
      <c r="L54" s="9">
        <f t="shared" si="54"/>
        <v>0.4919</v>
      </c>
      <c r="M54" s="5">
        <f t="shared" si="55"/>
        <v>4.1516599999999997</v>
      </c>
      <c r="N54" s="5">
        <f t="shared" si="56"/>
        <v>4.2214400000000003</v>
      </c>
      <c r="O54" s="5">
        <f t="shared" si="57"/>
        <v>-1.2241799999999983</v>
      </c>
      <c r="P54" s="4">
        <f t="shared" si="58"/>
        <v>-10.650420000000061</v>
      </c>
    </row>
    <row r="55" spans="1:16" x14ac:dyDescent="0.5">
      <c r="A55" t="s">
        <v>5</v>
      </c>
      <c r="B55" t="str">
        <f t="shared" si="53"/>
        <v>RNG55xERR55xARM80xTDP55</v>
      </c>
      <c r="C55">
        <v>55</v>
      </c>
      <c r="D55">
        <v>55</v>
      </c>
      <c r="E55">
        <v>80</v>
      </c>
      <c r="F55">
        <v>55</v>
      </c>
      <c r="G55">
        <v>100000</v>
      </c>
      <c r="H55" s="3">
        <v>50114</v>
      </c>
      <c r="I55" s="3">
        <f t="shared" si="38"/>
        <v>49886</v>
      </c>
      <c r="J55" s="3">
        <v>415385</v>
      </c>
      <c r="K55" s="3">
        <v>413066</v>
      </c>
      <c r="L55" s="9">
        <f t="shared" si="54"/>
        <v>0.50114000000000003</v>
      </c>
      <c r="M55" s="5">
        <f t="shared" si="55"/>
        <v>4.1538500000000003</v>
      </c>
      <c r="N55" s="5">
        <f t="shared" si="56"/>
        <v>4.1306599999999998</v>
      </c>
      <c r="O55" s="5">
        <f t="shared" si="57"/>
        <v>0.27270000000000594</v>
      </c>
      <c r="P55" s="4">
        <f t="shared" si="58"/>
        <v>4.0559400000000245</v>
      </c>
    </row>
    <row r="56" spans="1:16" x14ac:dyDescent="0.5">
      <c r="A56" t="s">
        <v>5</v>
      </c>
      <c r="B56" t="str">
        <f t="shared" si="53"/>
        <v>RNG40xERR40xARM40xTDP40</v>
      </c>
      <c r="C56">
        <v>40</v>
      </c>
      <c r="D56">
        <v>40</v>
      </c>
      <c r="E56">
        <v>40</v>
      </c>
      <c r="F56">
        <v>40</v>
      </c>
      <c r="G56">
        <v>100000</v>
      </c>
      <c r="H56" s="3">
        <v>47297</v>
      </c>
      <c r="I56" s="3">
        <f t="shared" si="38"/>
        <v>52703</v>
      </c>
      <c r="J56" s="3">
        <v>416115</v>
      </c>
      <c r="K56" s="3">
        <v>442635</v>
      </c>
      <c r="L56" s="9">
        <f t="shared" ref="L56:L57" si="59">H56/G56</f>
        <v>0.47297</v>
      </c>
      <c r="M56" s="5">
        <f t="shared" ref="M56:M57" si="60">J56/G56</f>
        <v>4.1611500000000001</v>
      </c>
      <c r="N56" s="5">
        <f t="shared" ref="N56:N57" si="61">K56/G56</f>
        <v>4.4263500000000002</v>
      </c>
      <c r="O56" s="5">
        <f t="shared" ref="O56:O57" si="62">(L56-$L$86)*162</f>
        <v>-4.2908399999999984</v>
      </c>
      <c r="P56" s="4">
        <f t="shared" ref="P56:P57" si="63">-(N56-$N$86)*162</f>
        <v>-43.845840000000052</v>
      </c>
    </row>
    <row r="57" spans="1:16" x14ac:dyDescent="0.5">
      <c r="A57" t="s">
        <v>5</v>
      </c>
      <c r="B57" t="str">
        <f t="shared" si="53"/>
        <v>RNG55xERR55xARM55xTDP55</v>
      </c>
      <c r="C57">
        <v>55</v>
      </c>
      <c r="D57">
        <v>55</v>
      </c>
      <c r="E57">
        <v>55</v>
      </c>
      <c r="F57">
        <v>55</v>
      </c>
      <c r="G57">
        <v>100000</v>
      </c>
      <c r="H57" s="3">
        <v>50105</v>
      </c>
      <c r="I57" s="3">
        <f t="shared" si="38"/>
        <v>49895</v>
      </c>
      <c r="J57" s="3">
        <v>415942</v>
      </c>
      <c r="K57" s="3">
        <v>415820</v>
      </c>
      <c r="L57" s="9">
        <f t="shared" si="59"/>
        <v>0.50105</v>
      </c>
      <c r="M57" s="5">
        <f t="shared" si="60"/>
        <v>4.1594199999999999</v>
      </c>
      <c r="N57" s="5">
        <f t="shared" si="61"/>
        <v>4.1581999999999999</v>
      </c>
      <c r="O57" s="5">
        <f t="shared" si="62"/>
        <v>0.25812000000000035</v>
      </c>
      <c r="P57" s="4">
        <f t="shared" si="63"/>
        <v>-0.4055399999999949</v>
      </c>
    </row>
    <row r="58" spans="1:16" x14ac:dyDescent="0.5">
      <c r="A58" t="s">
        <v>5</v>
      </c>
      <c r="B58" t="str">
        <f t="shared" si="53"/>
        <v>RNG65xERR65xARM65xTDP65</v>
      </c>
      <c r="C58">
        <v>65</v>
      </c>
      <c r="D58">
        <v>65</v>
      </c>
      <c r="E58">
        <v>65</v>
      </c>
      <c r="F58">
        <v>65</v>
      </c>
      <c r="G58">
        <v>100000</v>
      </c>
      <c r="H58" s="3">
        <v>50168</v>
      </c>
      <c r="I58" s="3">
        <f t="shared" si="38"/>
        <v>49832</v>
      </c>
      <c r="J58" s="3">
        <v>414007</v>
      </c>
      <c r="K58" s="3">
        <v>412211</v>
      </c>
      <c r="L58" s="9">
        <f t="shared" ref="L58" si="64">H58/G58</f>
        <v>0.50168000000000001</v>
      </c>
      <c r="M58" s="5">
        <f t="shared" ref="M58" si="65">J58/G58</f>
        <v>4.1400699999999997</v>
      </c>
      <c r="N58" s="5">
        <f t="shared" ref="N58" si="66">K58/G58</f>
        <v>4.1221100000000002</v>
      </c>
      <c r="O58" s="5">
        <f t="shared" ref="O58" si="67">(L58-$L$86)*162</f>
        <v>0.3601800000000035</v>
      </c>
      <c r="P58" s="4">
        <f t="shared" ref="P58" si="68">-(N58-$N$86)*162</f>
        <v>5.4410399999999619</v>
      </c>
    </row>
    <row r="59" spans="1:16" x14ac:dyDescent="0.5">
      <c r="A59" s="23" t="s">
        <v>6</v>
      </c>
      <c r="B59" s="18" t="s">
        <v>34</v>
      </c>
      <c r="C59" s="18">
        <v>50</v>
      </c>
      <c r="D59" s="18">
        <v>55</v>
      </c>
      <c r="E59" s="18">
        <v>60</v>
      </c>
      <c r="F59" s="18">
        <v>50</v>
      </c>
      <c r="G59" s="18">
        <v>100000</v>
      </c>
      <c r="H59" s="19">
        <v>49945.666666666664</v>
      </c>
      <c r="I59" s="19">
        <v>50054.333333333336</v>
      </c>
      <c r="J59" s="19">
        <v>414749</v>
      </c>
      <c r="K59" s="19">
        <v>415569.66666666669</v>
      </c>
      <c r="L59" s="20">
        <v>0.49945666666666666</v>
      </c>
      <c r="M59" s="21">
        <v>4.1474900000000003</v>
      </c>
      <c r="N59" s="21">
        <v>4.1556966666666666</v>
      </c>
      <c r="O59" s="21" t="s">
        <v>50</v>
      </c>
      <c r="P59" s="22" t="s">
        <v>50</v>
      </c>
    </row>
    <row r="60" spans="1:16" x14ac:dyDescent="0.5">
      <c r="A60" t="s">
        <v>6</v>
      </c>
      <c r="B60" t="str">
        <f t="shared" ref="B60" si="69">_xlfn.CONCAT("RNG",C60,"xERR",D60,"xARM",E60,"xTDP",F60)</f>
        <v>RNG20xERR20xARM20xTDP20</v>
      </c>
      <c r="C60">
        <v>20</v>
      </c>
      <c r="D60">
        <v>20</v>
      </c>
      <c r="E60">
        <v>20</v>
      </c>
      <c r="F60">
        <v>20</v>
      </c>
      <c r="G60">
        <v>100000</v>
      </c>
      <c r="H60" s="3">
        <v>47576</v>
      </c>
      <c r="I60" s="3">
        <f t="shared" si="38"/>
        <v>52424</v>
      </c>
      <c r="J60" s="3">
        <v>414601</v>
      </c>
      <c r="K60" s="3">
        <v>438552</v>
      </c>
      <c r="L60" s="9">
        <f t="shared" ref="L60" si="70">H60/G60</f>
        <v>0.47576000000000002</v>
      </c>
      <c r="M60" s="5">
        <f t="shared" ref="M60" si="71">J60/G60</f>
        <v>4.1460100000000004</v>
      </c>
      <c r="N60" s="5">
        <f t="shared" ref="N60" si="72">K60/G60</f>
        <v>4.3855199999999996</v>
      </c>
      <c r="O60" s="5">
        <f>(L60-$L$86)*162</f>
        <v>-3.8388599999999964</v>
      </c>
      <c r="P60" s="4">
        <f>-(N60-$N$86)*162</f>
        <v>-37.231379999999952</v>
      </c>
    </row>
    <row r="61" spans="1:16" x14ac:dyDescent="0.5">
      <c r="A61" t="s">
        <v>6</v>
      </c>
      <c r="B61" t="str">
        <f t="shared" ref="B61:B77" si="73">_xlfn.CONCAT("RNG",C61,"xERR",D61,"xARM",E61,"xTDP",F61)</f>
        <v>RNG80xERR80xARM80xTDP80</v>
      </c>
      <c r="C61">
        <v>80</v>
      </c>
      <c r="D61">
        <v>80</v>
      </c>
      <c r="E61">
        <v>80</v>
      </c>
      <c r="F61">
        <v>80</v>
      </c>
      <c r="G61">
        <v>100000</v>
      </c>
      <c r="H61" s="3">
        <v>51372</v>
      </c>
      <c r="I61" s="3">
        <f t="shared" si="38"/>
        <v>48628</v>
      </c>
      <c r="J61" s="3">
        <v>414437</v>
      </c>
      <c r="K61" s="3">
        <v>400887</v>
      </c>
      <c r="L61" s="9">
        <f t="shared" ref="L61" si="74">H61/G61</f>
        <v>0.51371999999999995</v>
      </c>
      <c r="M61" s="5">
        <f t="shared" ref="M61" si="75">J61/G61</f>
        <v>4.1443700000000003</v>
      </c>
      <c r="N61" s="5">
        <f t="shared" ref="N61" si="76">K61/G61</f>
        <v>4.0088699999999999</v>
      </c>
      <c r="O61" s="5">
        <f>(L61-$L$86)*162</f>
        <v>2.3106599999999937</v>
      </c>
      <c r="P61" s="4">
        <f>-(N61-$N$86)*162</f>
        <v>23.785919999999997</v>
      </c>
    </row>
    <row r="62" spans="1:16" x14ac:dyDescent="0.5">
      <c r="A62" t="s">
        <v>6</v>
      </c>
      <c r="B62" t="str">
        <f t="shared" si="73"/>
        <v>RNG20xERR55xARM60xTDP50</v>
      </c>
      <c r="C62">
        <v>20</v>
      </c>
      <c r="D62">
        <v>55</v>
      </c>
      <c r="E62">
        <v>60</v>
      </c>
      <c r="F62">
        <v>50</v>
      </c>
      <c r="G62">
        <v>100000</v>
      </c>
      <c r="H62" s="3">
        <v>48287</v>
      </c>
      <c r="I62" s="3">
        <f t="shared" si="38"/>
        <v>51713</v>
      </c>
      <c r="J62" s="3">
        <v>415804</v>
      </c>
      <c r="K62" s="3">
        <v>432299</v>
      </c>
      <c r="L62" s="9">
        <f t="shared" ref="L62:L67" si="77">H62/G62</f>
        <v>0.48287000000000002</v>
      </c>
      <c r="M62" s="5">
        <f t="shared" ref="M62:M67" si="78">J62/G62</f>
        <v>4.1580399999999997</v>
      </c>
      <c r="N62" s="5">
        <f t="shared" ref="N62:N67" si="79">K62/G62</f>
        <v>4.3229899999999999</v>
      </c>
      <c r="O62" s="5">
        <f t="shared" ref="O62:O67" si="80">(L62-$L$86)*162</f>
        <v>-2.6870399999999952</v>
      </c>
      <c r="P62" s="4">
        <f t="shared" ref="P62:P67" si="81">-(N62-$N$86)*162</f>
        <v>-27.101519999999994</v>
      </c>
    </row>
    <row r="63" spans="1:16" x14ac:dyDescent="0.5">
      <c r="A63" t="s">
        <v>6</v>
      </c>
      <c r="B63" t="str">
        <f t="shared" si="73"/>
        <v>RNG40xERR55xARM60xTDP50</v>
      </c>
      <c r="C63">
        <v>40</v>
      </c>
      <c r="D63">
        <v>55</v>
      </c>
      <c r="E63">
        <v>60</v>
      </c>
      <c r="F63">
        <v>50</v>
      </c>
      <c r="G63">
        <v>100000</v>
      </c>
      <c r="H63" s="3">
        <v>48919</v>
      </c>
      <c r="I63" s="3">
        <f t="shared" si="38"/>
        <v>51081</v>
      </c>
      <c r="J63" s="3">
        <v>414437</v>
      </c>
      <c r="K63" s="3">
        <v>423277</v>
      </c>
      <c r="L63" s="9">
        <f t="shared" si="77"/>
        <v>0.48919000000000001</v>
      </c>
      <c r="M63" s="5">
        <f t="shared" si="78"/>
        <v>4.1443700000000003</v>
      </c>
      <c r="N63" s="5">
        <f t="shared" si="79"/>
        <v>4.2327700000000004</v>
      </c>
      <c r="O63" s="5">
        <f t="shared" si="80"/>
        <v>-1.6631999999999967</v>
      </c>
      <c r="P63" s="4">
        <f t="shared" si="81"/>
        <v>-12.485880000000071</v>
      </c>
    </row>
    <row r="64" spans="1:16" x14ac:dyDescent="0.5">
      <c r="A64" t="s">
        <v>6</v>
      </c>
      <c r="B64" t="str">
        <f t="shared" si="73"/>
        <v>RNG45xERR55xARM60xTDP50</v>
      </c>
      <c r="C64">
        <v>45</v>
      </c>
      <c r="D64">
        <v>55</v>
      </c>
      <c r="E64">
        <v>60</v>
      </c>
      <c r="F64">
        <v>50</v>
      </c>
      <c r="G64">
        <v>100000</v>
      </c>
      <c r="H64" s="3">
        <v>49501</v>
      </c>
      <c r="I64" s="3">
        <f t="shared" si="38"/>
        <v>50499</v>
      </c>
      <c r="J64" s="3">
        <v>415887</v>
      </c>
      <c r="K64" s="3">
        <v>421819</v>
      </c>
      <c r="L64" s="9">
        <f t="shared" si="77"/>
        <v>0.49501000000000001</v>
      </c>
      <c r="M64" s="5">
        <f t="shared" si="78"/>
        <v>4.1588700000000003</v>
      </c>
      <c r="N64" s="5">
        <f t="shared" si="79"/>
        <v>4.2181899999999999</v>
      </c>
      <c r="O64" s="5">
        <f t="shared" si="80"/>
        <v>-0.720359999999998</v>
      </c>
      <c r="P64" s="4">
        <f t="shared" si="81"/>
        <v>-10.123919999999993</v>
      </c>
    </row>
    <row r="65" spans="1:16" x14ac:dyDescent="0.5">
      <c r="A65" t="s">
        <v>6</v>
      </c>
      <c r="B65" t="str">
        <f t="shared" si="73"/>
        <v>RNG55xERR55xARM60xTDP50</v>
      </c>
      <c r="C65">
        <v>55</v>
      </c>
      <c r="D65">
        <v>55</v>
      </c>
      <c r="E65">
        <v>60</v>
      </c>
      <c r="F65">
        <v>50</v>
      </c>
      <c r="G65">
        <v>100000</v>
      </c>
      <c r="H65" s="3">
        <v>50933</v>
      </c>
      <c r="I65" s="3">
        <f t="shared" si="38"/>
        <v>49067</v>
      </c>
      <c r="J65" s="3">
        <v>414215</v>
      </c>
      <c r="K65" s="3">
        <v>404752</v>
      </c>
      <c r="L65" s="9">
        <f t="shared" si="77"/>
        <v>0.50932999999999995</v>
      </c>
      <c r="M65" s="5">
        <f t="shared" si="78"/>
        <v>4.14215</v>
      </c>
      <c r="N65" s="5">
        <f t="shared" si="79"/>
        <v>4.0475199999999996</v>
      </c>
      <c r="O65" s="5">
        <f t="shared" si="80"/>
        <v>1.5994799999999929</v>
      </c>
      <c r="P65" s="4">
        <f t="shared" si="81"/>
        <v>17.524620000000059</v>
      </c>
    </row>
    <row r="66" spans="1:16" x14ac:dyDescent="0.5">
      <c r="A66" t="s">
        <v>6</v>
      </c>
      <c r="B66" t="str">
        <f t="shared" si="73"/>
        <v>RNG60xERR55xARM60xTDP50</v>
      </c>
      <c r="C66">
        <v>60</v>
      </c>
      <c r="D66">
        <v>55</v>
      </c>
      <c r="E66">
        <v>60</v>
      </c>
      <c r="F66">
        <v>50</v>
      </c>
      <c r="G66">
        <v>100000</v>
      </c>
      <c r="H66" s="3">
        <v>51439</v>
      </c>
      <c r="I66" s="3">
        <f t="shared" si="38"/>
        <v>48561</v>
      </c>
      <c r="J66" s="3">
        <v>415702</v>
      </c>
      <c r="K66" s="3">
        <v>402140</v>
      </c>
      <c r="L66" s="9">
        <f t="shared" si="77"/>
        <v>0.51439000000000001</v>
      </c>
      <c r="M66" s="5">
        <f t="shared" si="78"/>
        <v>4.1570200000000002</v>
      </c>
      <c r="N66" s="5">
        <f t="shared" si="79"/>
        <v>4.0213999999999999</v>
      </c>
      <c r="O66" s="5">
        <f t="shared" si="80"/>
        <v>2.4192000000000036</v>
      </c>
      <c r="P66" s="4">
        <f t="shared" si="81"/>
        <v>21.756060000000012</v>
      </c>
    </row>
    <row r="67" spans="1:16" x14ac:dyDescent="0.5">
      <c r="A67" t="s">
        <v>6</v>
      </c>
      <c r="B67" t="str">
        <f t="shared" si="73"/>
        <v>RNG70xERR55xARM60xTDP50</v>
      </c>
      <c r="C67">
        <v>70</v>
      </c>
      <c r="D67">
        <v>55</v>
      </c>
      <c r="E67">
        <v>60</v>
      </c>
      <c r="F67">
        <v>50</v>
      </c>
      <c r="G67">
        <v>100000</v>
      </c>
      <c r="H67" s="3">
        <v>51302</v>
      </c>
      <c r="I67" s="3">
        <f t="shared" si="38"/>
        <v>48698</v>
      </c>
      <c r="J67" s="3">
        <v>416002</v>
      </c>
      <c r="K67" s="3">
        <v>404727</v>
      </c>
      <c r="L67" s="9">
        <f t="shared" si="77"/>
        <v>0.51302000000000003</v>
      </c>
      <c r="M67" s="5">
        <f t="shared" si="78"/>
        <v>4.1600200000000003</v>
      </c>
      <c r="N67" s="5">
        <f t="shared" si="79"/>
        <v>4.0472700000000001</v>
      </c>
      <c r="O67" s="5">
        <f t="shared" si="80"/>
        <v>2.1972600000000062</v>
      </c>
      <c r="P67" s="4">
        <f t="shared" si="81"/>
        <v>17.565119999999965</v>
      </c>
    </row>
    <row r="68" spans="1:16" x14ac:dyDescent="0.5">
      <c r="A68" t="s">
        <v>6</v>
      </c>
      <c r="B68" t="str">
        <f t="shared" si="73"/>
        <v>RNG80xERR55xARM60xTDP50</v>
      </c>
      <c r="C68">
        <v>80</v>
      </c>
      <c r="D68">
        <v>55</v>
      </c>
      <c r="E68">
        <v>60</v>
      </c>
      <c r="F68">
        <v>50</v>
      </c>
      <c r="G68">
        <v>100000</v>
      </c>
      <c r="H68" s="3">
        <v>51238</v>
      </c>
      <c r="I68" s="3">
        <f t="shared" si="38"/>
        <v>48762</v>
      </c>
      <c r="J68" s="3">
        <v>415254</v>
      </c>
      <c r="K68" s="3">
        <v>404166</v>
      </c>
      <c r="L68" s="9">
        <f t="shared" ref="L68" si="82">H68/G68</f>
        <v>0.51237999999999995</v>
      </c>
      <c r="M68" s="5">
        <f t="shared" ref="M68" si="83">J68/G68</f>
        <v>4.1525400000000001</v>
      </c>
      <c r="N68" s="5">
        <f t="shared" ref="N68" si="84">K68/G68</f>
        <v>4.0416600000000003</v>
      </c>
      <c r="O68" s="5">
        <f t="shared" ref="O68" si="85">(L68-$L$86)*162</f>
        <v>2.0935799999999922</v>
      </c>
      <c r="P68" s="4">
        <f t="shared" ref="P68" si="86">-(N68-$N$86)*162</f>
        <v>18.473939999999949</v>
      </c>
    </row>
    <row r="69" spans="1:16" x14ac:dyDescent="0.5">
      <c r="A69" t="s">
        <v>6</v>
      </c>
      <c r="B69" t="str">
        <f t="shared" si="73"/>
        <v>RNG50xERR55xARM20xTDP50</v>
      </c>
      <c r="C69">
        <v>50</v>
      </c>
      <c r="D69">
        <v>55</v>
      </c>
      <c r="E69">
        <v>20</v>
      </c>
      <c r="F69">
        <v>50</v>
      </c>
      <c r="G69">
        <v>100000</v>
      </c>
      <c r="H69" s="3">
        <v>48095</v>
      </c>
      <c r="I69" s="3">
        <f t="shared" si="38"/>
        <v>51905</v>
      </c>
      <c r="J69" s="3">
        <v>414511</v>
      </c>
      <c r="K69" s="3">
        <v>433031</v>
      </c>
      <c r="L69" s="9">
        <f t="shared" ref="L69:L77" si="87">H69/G69</f>
        <v>0.48094999999999999</v>
      </c>
      <c r="M69" s="5">
        <f t="shared" ref="M69:M77" si="88">J69/G69</f>
        <v>4.1451099999999999</v>
      </c>
      <c r="N69" s="5">
        <f t="shared" ref="N69:N77" si="89">K69/G69</f>
        <v>4.3303099999999999</v>
      </c>
      <c r="O69" s="5">
        <f t="shared" ref="O69:O77" si="90">(L69-$L$86)*162</f>
        <v>-2.9980800000000007</v>
      </c>
      <c r="P69" s="4">
        <f t="shared" ref="P69:P77" si="91">-(N69-$N$86)*162</f>
        <v>-28.287359999999993</v>
      </c>
    </row>
    <row r="70" spans="1:16" x14ac:dyDescent="0.5">
      <c r="A70" t="s">
        <v>6</v>
      </c>
      <c r="B70" t="str">
        <f t="shared" si="73"/>
        <v>RNG50xERR55xARM40xTDP50</v>
      </c>
      <c r="C70">
        <v>50</v>
      </c>
      <c r="D70">
        <v>55</v>
      </c>
      <c r="E70">
        <v>40</v>
      </c>
      <c r="F70">
        <v>50</v>
      </c>
      <c r="G70">
        <v>100000</v>
      </c>
      <c r="H70" s="3">
        <v>48133</v>
      </c>
      <c r="I70" s="3">
        <f t="shared" si="38"/>
        <v>51867</v>
      </c>
      <c r="J70" s="3">
        <v>414073</v>
      </c>
      <c r="K70" s="3">
        <v>431339</v>
      </c>
      <c r="L70" s="9">
        <f t="shared" si="87"/>
        <v>0.48132999999999998</v>
      </c>
      <c r="M70" s="5">
        <f t="shared" si="88"/>
        <v>4.1407299999999996</v>
      </c>
      <c r="N70" s="5">
        <f t="shared" si="89"/>
        <v>4.3133900000000001</v>
      </c>
      <c r="O70" s="5">
        <f t="shared" si="90"/>
        <v>-2.936520000000002</v>
      </c>
      <c r="P70" s="4">
        <f t="shared" si="91"/>
        <v>-25.546320000000023</v>
      </c>
    </row>
    <row r="71" spans="1:16" x14ac:dyDescent="0.5">
      <c r="A71" t="s">
        <v>6</v>
      </c>
      <c r="B71" t="str">
        <f t="shared" si="73"/>
        <v>RNG50xERR55xARM45xTDP50</v>
      </c>
      <c r="C71">
        <v>50</v>
      </c>
      <c r="D71">
        <v>55</v>
      </c>
      <c r="E71">
        <v>45</v>
      </c>
      <c r="F71">
        <v>50</v>
      </c>
      <c r="G71">
        <v>100000</v>
      </c>
      <c r="H71" s="3">
        <v>48681</v>
      </c>
      <c r="I71" s="3">
        <f t="shared" si="38"/>
        <v>51319</v>
      </c>
      <c r="J71" s="3">
        <v>415322</v>
      </c>
      <c r="K71" s="3">
        <v>427915</v>
      </c>
      <c r="L71" s="9">
        <f t="shared" si="87"/>
        <v>0.48681000000000002</v>
      </c>
      <c r="M71" s="5">
        <f t="shared" si="88"/>
        <v>4.1532200000000001</v>
      </c>
      <c r="N71" s="5">
        <f t="shared" si="89"/>
        <v>4.2791499999999996</v>
      </c>
      <c r="O71" s="5">
        <f t="shared" si="90"/>
        <v>-2.0487599999999957</v>
      </c>
      <c r="P71" s="4">
        <f t="shared" si="91"/>
        <v>-19.999439999999943</v>
      </c>
    </row>
    <row r="72" spans="1:16" x14ac:dyDescent="0.5">
      <c r="A72" t="s">
        <v>6</v>
      </c>
      <c r="B72" t="str">
        <f t="shared" si="73"/>
        <v>RNG50xERR55xARM50xTDP50</v>
      </c>
      <c r="C72">
        <v>50</v>
      </c>
      <c r="D72">
        <v>55</v>
      </c>
      <c r="E72">
        <v>50</v>
      </c>
      <c r="F72">
        <v>50</v>
      </c>
      <c r="G72">
        <v>100000</v>
      </c>
      <c r="H72" s="3">
        <v>48534</v>
      </c>
      <c r="I72" s="3">
        <f t="shared" si="38"/>
        <v>51466</v>
      </c>
      <c r="J72" s="3">
        <v>413258</v>
      </c>
      <c r="K72" s="3">
        <v>426560</v>
      </c>
      <c r="L72" s="9">
        <f t="shared" si="87"/>
        <v>0.48533999999999999</v>
      </c>
      <c r="M72" s="5">
        <f t="shared" si="88"/>
        <v>4.1325799999999999</v>
      </c>
      <c r="N72" s="5">
        <f t="shared" si="89"/>
        <v>4.2656000000000001</v>
      </c>
      <c r="O72" s="5">
        <f t="shared" si="90"/>
        <v>-2.2869000000000002</v>
      </c>
      <c r="P72" s="4">
        <f t="shared" si="91"/>
        <v>-17.804340000000021</v>
      </c>
    </row>
    <row r="73" spans="1:16" x14ac:dyDescent="0.5">
      <c r="A73" t="s">
        <v>6</v>
      </c>
      <c r="B73" t="str">
        <f t="shared" si="73"/>
        <v>RNG50xERR55xARM55xTDP50</v>
      </c>
      <c r="C73">
        <v>50</v>
      </c>
      <c r="D73">
        <v>55</v>
      </c>
      <c r="E73">
        <v>55</v>
      </c>
      <c r="F73">
        <v>50</v>
      </c>
      <c r="G73">
        <v>100000</v>
      </c>
      <c r="H73" s="3">
        <v>49209</v>
      </c>
      <c r="I73" s="3">
        <f t="shared" si="38"/>
        <v>50791</v>
      </c>
      <c r="J73" s="3">
        <v>415662</v>
      </c>
      <c r="K73" s="3">
        <v>423067</v>
      </c>
      <c r="L73" s="9">
        <f t="shared" si="87"/>
        <v>0.49209000000000003</v>
      </c>
      <c r="M73" s="5">
        <f t="shared" si="88"/>
        <v>4.1566200000000002</v>
      </c>
      <c r="N73" s="5">
        <f t="shared" si="89"/>
        <v>4.2306699999999999</v>
      </c>
      <c r="O73" s="5">
        <f t="shared" si="90"/>
        <v>-1.1933999999999945</v>
      </c>
      <c r="P73" s="4">
        <f t="shared" si="91"/>
        <v>-12.14568</v>
      </c>
    </row>
    <row r="74" spans="1:16" x14ac:dyDescent="0.5">
      <c r="A74" t="s">
        <v>6</v>
      </c>
      <c r="B74" t="str">
        <f t="shared" si="73"/>
        <v>RNG50xERR55xARM65xTDP50</v>
      </c>
      <c r="C74">
        <v>50</v>
      </c>
      <c r="D74">
        <v>55</v>
      </c>
      <c r="E74">
        <v>65</v>
      </c>
      <c r="F74">
        <v>50</v>
      </c>
      <c r="G74">
        <v>100000</v>
      </c>
      <c r="H74" s="3">
        <v>51313</v>
      </c>
      <c r="I74" s="3">
        <f t="shared" si="38"/>
        <v>48687</v>
      </c>
      <c r="J74" s="3">
        <v>415978</v>
      </c>
      <c r="K74" s="3">
        <v>404987</v>
      </c>
      <c r="L74" s="9">
        <f t="shared" si="87"/>
        <v>0.51312999999999998</v>
      </c>
      <c r="M74" s="5">
        <f t="shared" si="88"/>
        <v>4.1597799999999996</v>
      </c>
      <c r="N74" s="5">
        <f t="shared" si="89"/>
        <v>4.0498700000000003</v>
      </c>
      <c r="O74" s="5">
        <f t="shared" si="90"/>
        <v>2.2150799999999968</v>
      </c>
      <c r="P74" s="4">
        <f t="shared" si="91"/>
        <v>17.143919999999937</v>
      </c>
    </row>
    <row r="75" spans="1:16" x14ac:dyDescent="0.5">
      <c r="A75" t="s">
        <v>6</v>
      </c>
      <c r="B75" t="str">
        <f t="shared" si="73"/>
        <v>RNG50xERR55xARM70xTDP50</v>
      </c>
      <c r="C75">
        <v>50</v>
      </c>
      <c r="D75">
        <v>55</v>
      </c>
      <c r="E75">
        <v>70</v>
      </c>
      <c r="F75">
        <v>50</v>
      </c>
      <c r="G75">
        <v>100000</v>
      </c>
      <c r="H75" s="3">
        <v>51128</v>
      </c>
      <c r="I75" s="3">
        <f t="shared" si="38"/>
        <v>48872</v>
      </c>
      <c r="J75" s="3">
        <v>414262</v>
      </c>
      <c r="K75" s="3">
        <v>404191</v>
      </c>
      <c r="L75" s="9">
        <f t="shared" si="87"/>
        <v>0.51127999999999996</v>
      </c>
      <c r="M75" s="5">
        <f t="shared" si="88"/>
        <v>4.14262</v>
      </c>
      <c r="N75" s="5">
        <f t="shared" si="89"/>
        <v>4.0419099999999997</v>
      </c>
      <c r="O75" s="5">
        <f t="shared" si="90"/>
        <v>1.9153799999999941</v>
      </c>
      <c r="P75" s="4">
        <f t="shared" si="91"/>
        <v>18.43344000000004</v>
      </c>
    </row>
    <row r="76" spans="1:16" x14ac:dyDescent="0.5">
      <c r="A76" t="s">
        <v>6</v>
      </c>
      <c r="B76" t="str">
        <f t="shared" si="73"/>
        <v>RNG50xERR55xARM75xTDP50</v>
      </c>
      <c r="C76">
        <v>50</v>
      </c>
      <c r="D76">
        <v>55</v>
      </c>
      <c r="E76">
        <v>75</v>
      </c>
      <c r="F76">
        <v>50</v>
      </c>
      <c r="G76">
        <v>100000</v>
      </c>
      <c r="H76" s="3">
        <v>51397</v>
      </c>
      <c r="I76" s="3">
        <f t="shared" si="38"/>
        <v>48603</v>
      </c>
      <c r="J76" s="3">
        <v>416165</v>
      </c>
      <c r="K76" s="3">
        <v>402408</v>
      </c>
      <c r="L76" s="9">
        <f t="shared" si="87"/>
        <v>0.51397000000000004</v>
      </c>
      <c r="M76" s="5">
        <f t="shared" si="88"/>
        <v>4.1616499999999998</v>
      </c>
      <c r="N76" s="5">
        <f t="shared" si="89"/>
        <v>4.0240799999999997</v>
      </c>
      <c r="O76" s="5">
        <f t="shared" si="90"/>
        <v>2.3511600000000072</v>
      </c>
      <c r="P76" s="4">
        <f t="shared" si="91"/>
        <v>21.321900000000042</v>
      </c>
    </row>
    <row r="77" spans="1:16" x14ac:dyDescent="0.5">
      <c r="A77" t="s">
        <v>6</v>
      </c>
      <c r="B77" t="str">
        <f t="shared" si="73"/>
        <v>RNG50xERR55xARM80xTDP50</v>
      </c>
      <c r="C77">
        <v>50</v>
      </c>
      <c r="D77">
        <v>55</v>
      </c>
      <c r="E77">
        <v>80</v>
      </c>
      <c r="F77">
        <v>50</v>
      </c>
      <c r="G77">
        <v>100000</v>
      </c>
      <c r="H77" s="3">
        <v>51399</v>
      </c>
      <c r="I77" s="3">
        <f t="shared" si="38"/>
        <v>48601</v>
      </c>
      <c r="J77" s="3">
        <v>416120</v>
      </c>
      <c r="K77" s="3">
        <v>402542</v>
      </c>
      <c r="L77" s="9">
        <f t="shared" si="87"/>
        <v>0.51398999999999995</v>
      </c>
      <c r="M77" s="5">
        <f t="shared" si="88"/>
        <v>4.1612</v>
      </c>
      <c r="N77" s="5">
        <f t="shared" si="89"/>
        <v>4.0254200000000004</v>
      </c>
      <c r="O77" s="5">
        <f t="shared" si="90"/>
        <v>2.3543999999999925</v>
      </c>
      <c r="P77" s="4">
        <f t="shared" si="91"/>
        <v>21.104819999999918</v>
      </c>
    </row>
    <row r="78" spans="1:16" x14ac:dyDescent="0.5">
      <c r="A78" t="s">
        <v>6</v>
      </c>
      <c r="B78" t="str">
        <f t="shared" ref="B78:B85" si="92">_xlfn.CONCAT("RNG",C78,"xERR",D78,"xARM",E78,"xTDP",F78)</f>
        <v>RNG50xERR20xARM60xTDP50</v>
      </c>
      <c r="C78">
        <v>50</v>
      </c>
      <c r="D78">
        <v>20</v>
      </c>
      <c r="E78">
        <v>60</v>
      </c>
      <c r="F78">
        <v>50</v>
      </c>
      <c r="G78">
        <v>100000</v>
      </c>
      <c r="H78" s="3">
        <v>49682</v>
      </c>
      <c r="I78" s="3">
        <f t="shared" si="38"/>
        <v>50318</v>
      </c>
      <c r="J78" s="3">
        <v>416552</v>
      </c>
      <c r="K78" s="3">
        <v>420457</v>
      </c>
      <c r="L78" s="9">
        <f t="shared" ref="L78:L81" si="93">H78/G78</f>
        <v>0.49681999999999998</v>
      </c>
      <c r="M78" s="5">
        <f t="shared" ref="M78:M81" si="94">J78/G78</f>
        <v>4.1655199999999999</v>
      </c>
      <c r="N78" s="5">
        <f t="shared" ref="N78:N81" si="95">K78/G78</f>
        <v>4.2045700000000004</v>
      </c>
      <c r="O78" s="5">
        <f t="shared" ref="O78:O81" si="96">(L78-$L$86)*162</f>
        <v>-0.42714000000000152</v>
      </c>
      <c r="P78" s="4">
        <f t="shared" ref="P78:P81" si="97">-(N78-$N$86)*162</f>
        <v>-7.9174800000000705</v>
      </c>
    </row>
    <row r="79" spans="1:16" x14ac:dyDescent="0.5">
      <c r="A79" t="s">
        <v>6</v>
      </c>
      <c r="B79" t="str">
        <f t="shared" si="92"/>
        <v>RNG50xERR80xARM60xTDP50</v>
      </c>
      <c r="C79">
        <v>50</v>
      </c>
      <c r="D79">
        <v>80</v>
      </c>
      <c r="E79">
        <v>60</v>
      </c>
      <c r="F79">
        <v>50</v>
      </c>
      <c r="G79">
        <v>100000</v>
      </c>
      <c r="H79" s="3">
        <v>50358</v>
      </c>
      <c r="I79" s="3">
        <f t="shared" si="38"/>
        <v>49642</v>
      </c>
      <c r="J79" s="3">
        <v>415701</v>
      </c>
      <c r="K79" s="3">
        <v>411673</v>
      </c>
      <c r="L79" s="9">
        <f t="shared" si="93"/>
        <v>0.50358000000000003</v>
      </c>
      <c r="M79" s="5">
        <f t="shared" si="94"/>
        <v>4.1570099999999996</v>
      </c>
      <c r="N79" s="5">
        <f t="shared" si="95"/>
        <v>4.1167299999999996</v>
      </c>
      <c r="O79" s="5">
        <f t="shared" si="96"/>
        <v>0.66798000000000557</v>
      </c>
      <c r="P79" s="4">
        <f t="shared" si="97"/>
        <v>6.3126000000000602</v>
      </c>
    </row>
    <row r="80" spans="1:16" x14ac:dyDescent="0.5">
      <c r="A80" t="s">
        <v>6</v>
      </c>
      <c r="B80" t="str">
        <f t="shared" si="92"/>
        <v>RNG50xERR55xARM60xTDP20</v>
      </c>
      <c r="C80">
        <v>50</v>
      </c>
      <c r="D80">
        <v>55</v>
      </c>
      <c r="E80">
        <v>60</v>
      </c>
      <c r="F80">
        <v>20</v>
      </c>
      <c r="G80">
        <v>100000</v>
      </c>
      <c r="H80" s="3">
        <v>49734</v>
      </c>
      <c r="I80" s="3">
        <f t="shared" si="38"/>
        <v>50266</v>
      </c>
      <c r="J80" s="3">
        <v>413772</v>
      </c>
      <c r="K80" s="3">
        <v>416748</v>
      </c>
      <c r="L80" s="9">
        <f t="shared" si="93"/>
        <v>0.49734</v>
      </c>
      <c r="M80" s="5">
        <f t="shared" si="94"/>
        <v>4.1377199999999998</v>
      </c>
      <c r="N80" s="5">
        <f t="shared" si="95"/>
        <v>4.1674800000000003</v>
      </c>
      <c r="O80" s="5">
        <f t="shared" si="96"/>
        <v>-0.34289999999999821</v>
      </c>
      <c r="P80" s="4">
        <f t="shared" si="97"/>
        <v>-1.9089000000000595</v>
      </c>
    </row>
    <row r="81" spans="1:16" x14ac:dyDescent="0.5">
      <c r="A81" t="s">
        <v>6</v>
      </c>
      <c r="B81" t="str">
        <f t="shared" si="92"/>
        <v>RNG50xERR55xARM60xTDP80</v>
      </c>
      <c r="C81">
        <v>50</v>
      </c>
      <c r="D81">
        <v>55</v>
      </c>
      <c r="E81">
        <v>60</v>
      </c>
      <c r="F81">
        <v>80</v>
      </c>
      <c r="G81">
        <v>100000</v>
      </c>
      <c r="H81" s="3">
        <v>50195</v>
      </c>
      <c r="I81" s="3">
        <f t="shared" si="38"/>
        <v>49805</v>
      </c>
      <c r="J81" s="3">
        <v>415338</v>
      </c>
      <c r="K81" s="3">
        <v>414276</v>
      </c>
      <c r="L81" s="9">
        <f t="shared" si="93"/>
        <v>0.50195000000000001</v>
      </c>
      <c r="M81" s="5">
        <f t="shared" si="94"/>
        <v>4.1533800000000003</v>
      </c>
      <c r="N81" s="5">
        <f t="shared" si="95"/>
        <v>4.14276</v>
      </c>
      <c r="O81" s="5">
        <f t="shared" si="96"/>
        <v>0.40392000000000228</v>
      </c>
      <c r="P81" s="4">
        <f t="shared" si="97"/>
        <v>2.0957399999999886</v>
      </c>
    </row>
    <row r="82" spans="1:16" x14ac:dyDescent="0.5">
      <c r="A82" t="s">
        <v>6</v>
      </c>
      <c r="B82" t="str">
        <f t="shared" si="92"/>
        <v>RNG40xERR40xARM40xTDP40</v>
      </c>
      <c r="C82">
        <v>40</v>
      </c>
      <c r="D82">
        <v>40</v>
      </c>
      <c r="E82">
        <v>40</v>
      </c>
      <c r="F82">
        <v>40</v>
      </c>
      <c r="G82">
        <v>100000</v>
      </c>
      <c r="H82" s="3">
        <v>47955</v>
      </c>
      <c r="I82" s="3">
        <f t="shared" si="38"/>
        <v>52045</v>
      </c>
      <c r="J82" s="3">
        <v>416374</v>
      </c>
      <c r="K82" s="3">
        <v>437075</v>
      </c>
      <c r="L82" s="9">
        <f t="shared" ref="L82:L84" si="98">H82/G82</f>
        <v>0.47954999999999998</v>
      </c>
      <c r="M82" s="5">
        <f t="shared" ref="M82:M84" si="99">J82/G82</f>
        <v>4.1637399999999998</v>
      </c>
      <c r="N82" s="5">
        <f t="shared" ref="N82:N84" si="100">K82/G82</f>
        <v>4.3707500000000001</v>
      </c>
      <c r="O82" s="5">
        <f t="shared" ref="O82:O84" si="101">(L82-$L$86)*162</f>
        <v>-3.2248800000000029</v>
      </c>
      <c r="P82" s="4">
        <f t="shared" ref="P82:P84" si="102">-(N82-$N$86)*162</f>
        <v>-34.838640000000034</v>
      </c>
    </row>
    <row r="83" spans="1:16" x14ac:dyDescent="0.5">
      <c r="A83" t="s">
        <v>6</v>
      </c>
      <c r="B83" t="str">
        <f t="shared" si="92"/>
        <v>RNG55xERR55xARM55xTDP55</v>
      </c>
      <c r="C83">
        <v>55</v>
      </c>
      <c r="D83">
        <v>55</v>
      </c>
      <c r="E83">
        <v>55</v>
      </c>
      <c r="F83">
        <v>55</v>
      </c>
      <c r="G83">
        <v>100000</v>
      </c>
      <c r="H83" s="3">
        <v>49937</v>
      </c>
      <c r="I83" s="3">
        <f t="shared" si="38"/>
        <v>50063</v>
      </c>
      <c r="J83" s="3">
        <v>416692</v>
      </c>
      <c r="K83" s="3">
        <v>416636</v>
      </c>
      <c r="L83" s="9">
        <f t="shared" si="98"/>
        <v>0.49936999999999998</v>
      </c>
      <c r="M83" s="5">
        <f t="shared" si="99"/>
        <v>4.1669200000000002</v>
      </c>
      <c r="N83" s="5">
        <f t="shared" si="100"/>
        <v>4.1663600000000001</v>
      </c>
      <c r="O83" s="5">
        <f t="shared" si="101"/>
        <v>-1.4040000000002051E-2</v>
      </c>
      <c r="P83" s="4">
        <f t="shared" si="102"/>
        <v>-1.727460000000022</v>
      </c>
    </row>
    <row r="84" spans="1:16" x14ac:dyDescent="0.5">
      <c r="A84" t="s">
        <v>6</v>
      </c>
      <c r="B84" t="str">
        <f t="shared" si="92"/>
        <v>RNG65xERR65xARM65xTDP65</v>
      </c>
      <c r="C84">
        <v>65</v>
      </c>
      <c r="D84">
        <v>65</v>
      </c>
      <c r="E84">
        <v>65</v>
      </c>
      <c r="F84">
        <v>65</v>
      </c>
      <c r="G84">
        <v>100000</v>
      </c>
      <c r="H84" s="3">
        <v>51399</v>
      </c>
      <c r="I84" s="3">
        <f t="shared" si="38"/>
        <v>48601</v>
      </c>
      <c r="J84" s="3">
        <v>415329</v>
      </c>
      <c r="K84" s="3">
        <v>402214</v>
      </c>
      <c r="L84" s="9">
        <f t="shared" si="98"/>
        <v>0.51398999999999995</v>
      </c>
      <c r="M84" s="5">
        <f t="shared" si="99"/>
        <v>4.1532900000000001</v>
      </c>
      <c r="N84" s="5">
        <f t="shared" si="100"/>
        <v>4.0221400000000003</v>
      </c>
      <c r="O84" s="5">
        <f t="shared" si="101"/>
        <v>2.3543999999999925</v>
      </c>
      <c r="P84" s="4">
        <f t="shared" si="102"/>
        <v>21.636179999999946</v>
      </c>
    </row>
    <row r="85" spans="1:16" x14ac:dyDescent="0.5">
      <c r="A85" t="s">
        <v>6</v>
      </c>
      <c r="B85" t="str">
        <f t="shared" si="92"/>
        <v>RNG80xERR50xARM80xTDP50</v>
      </c>
      <c r="C85">
        <v>80</v>
      </c>
      <c r="D85">
        <v>50</v>
      </c>
      <c r="E85">
        <v>80</v>
      </c>
      <c r="F85">
        <v>50</v>
      </c>
      <c r="G85">
        <v>100000</v>
      </c>
      <c r="H85" s="3">
        <v>51371</v>
      </c>
      <c r="I85" s="3">
        <f t="shared" si="38"/>
        <v>48629</v>
      </c>
      <c r="J85" s="3">
        <v>415305</v>
      </c>
      <c r="K85" s="3">
        <v>403212</v>
      </c>
      <c r="L85" s="9">
        <f t="shared" ref="L85" si="103">H85/G85</f>
        <v>0.51371</v>
      </c>
      <c r="M85" s="5">
        <f t="shared" ref="M85" si="104">J85/G85</f>
        <v>4.1530500000000004</v>
      </c>
      <c r="N85" s="5">
        <f t="shared" ref="N85" si="105">K85/G85</f>
        <v>4.0321199999999999</v>
      </c>
      <c r="O85" s="5">
        <f t="shared" ref="O85" si="106">(L85-$L$86)*162</f>
        <v>2.3090400000000013</v>
      </c>
      <c r="P85" s="4">
        <f t="shared" ref="P85" si="107">-(N85-$N$86)*162</f>
        <v>20.01942</v>
      </c>
    </row>
    <row r="86" spans="1:16" x14ac:dyDescent="0.5">
      <c r="A86" s="18" t="s">
        <v>110</v>
      </c>
      <c r="B86" s="18" t="s">
        <v>34</v>
      </c>
      <c r="C86" s="18">
        <v>60</v>
      </c>
      <c r="D86" s="18">
        <v>60</v>
      </c>
      <c r="E86" s="18">
        <v>60</v>
      </c>
      <c r="F86" s="18">
        <v>60</v>
      </c>
      <c r="G86" s="18">
        <v>100000</v>
      </c>
      <c r="H86" s="19">
        <v>49945.666666666664</v>
      </c>
      <c r="I86" s="19">
        <v>50054.333333333336</v>
      </c>
      <c r="J86" s="19">
        <v>414749</v>
      </c>
      <c r="K86" s="19">
        <v>415569.66666666669</v>
      </c>
      <c r="L86" s="20">
        <v>0.49945666666666666</v>
      </c>
      <c r="M86" s="21">
        <v>4.1474900000000003</v>
      </c>
      <c r="N86" s="21">
        <v>4.1556966666666666</v>
      </c>
      <c r="O86" s="21" t="s">
        <v>50</v>
      </c>
      <c r="P86" s="22" t="s">
        <v>50</v>
      </c>
    </row>
    <row r="87" spans="1:16" x14ac:dyDescent="0.5">
      <c r="A87" t="s">
        <v>110</v>
      </c>
      <c r="B87" t="str">
        <f t="shared" ref="B87:B112" si="108">_xlfn.CONCAT("RNG",C87,"xERR",D87,"xARM",E87,"xTDP",F87)</f>
        <v>RNG20xERR20xARM20xTDP20</v>
      </c>
      <c r="C87">
        <v>20</v>
      </c>
      <c r="D87">
        <v>20</v>
      </c>
      <c r="E87">
        <v>20</v>
      </c>
      <c r="F87">
        <v>20</v>
      </c>
      <c r="G87">
        <v>100000</v>
      </c>
      <c r="H87" s="3">
        <v>47165</v>
      </c>
      <c r="I87" s="3">
        <f t="shared" si="3"/>
        <v>52835</v>
      </c>
      <c r="J87" s="3">
        <v>417367</v>
      </c>
      <c r="K87" s="3">
        <v>445046</v>
      </c>
      <c r="L87" s="9">
        <f t="shared" ref="L87:L96" si="109">H87/G87</f>
        <v>0.47165000000000001</v>
      </c>
      <c r="M87" s="5">
        <f t="shared" ref="M87" si="110">J87/G87</f>
        <v>4.1736700000000004</v>
      </c>
      <c r="N87" s="5">
        <f t="shared" ref="N87" si="111">K87/G87</f>
        <v>4.4504599999999996</v>
      </c>
      <c r="O87" s="5">
        <f>(L87-$L$86)*162</f>
        <v>-4.5046799999999969</v>
      </c>
      <c r="P87" s="4">
        <f>-(N87-$N$86)*162</f>
        <v>-47.751659999999951</v>
      </c>
    </row>
    <row r="88" spans="1:16" x14ac:dyDescent="0.5">
      <c r="A88" t="s">
        <v>110</v>
      </c>
      <c r="B88" t="str">
        <f t="shared" si="108"/>
        <v>RNG80xERR80xARM80xTDP80</v>
      </c>
      <c r="C88">
        <v>80</v>
      </c>
      <c r="D88">
        <v>80</v>
      </c>
      <c r="E88">
        <v>80</v>
      </c>
      <c r="F88">
        <v>80</v>
      </c>
      <c r="G88">
        <v>100000</v>
      </c>
      <c r="H88" s="3">
        <v>51724</v>
      </c>
      <c r="I88" s="3">
        <f t="shared" si="3"/>
        <v>48276</v>
      </c>
      <c r="J88" s="3">
        <v>415854</v>
      </c>
      <c r="K88" s="3">
        <v>400604</v>
      </c>
      <c r="L88" s="9">
        <f t="shared" ref="L88" si="112">H88/G88</f>
        <v>0.51724000000000003</v>
      </c>
      <c r="M88" s="5">
        <f t="shared" ref="M88" si="113">J88/G88</f>
        <v>4.1585400000000003</v>
      </c>
      <c r="N88" s="5">
        <f t="shared" ref="N88" si="114">K88/G88</f>
        <v>4.0060399999999996</v>
      </c>
      <c r="O88" s="5">
        <f>(L88-$L$86)*162</f>
        <v>2.8809000000000067</v>
      </c>
      <c r="P88" s="4">
        <f>-(N88-$N$86)*162</f>
        <v>24.244380000000053</v>
      </c>
    </row>
    <row r="89" spans="1:16" x14ac:dyDescent="0.5">
      <c r="A89" t="s">
        <v>110</v>
      </c>
      <c r="B89" t="str">
        <f t="shared" si="108"/>
        <v>RNG20xERR60xARM60xTDP60</v>
      </c>
      <c r="C89">
        <v>20</v>
      </c>
      <c r="D89">
        <v>60</v>
      </c>
      <c r="E89">
        <v>60</v>
      </c>
      <c r="F89">
        <v>60</v>
      </c>
      <c r="G89">
        <v>100000</v>
      </c>
      <c r="H89">
        <v>48141</v>
      </c>
      <c r="I89" s="3">
        <f t="shared" si="3"/>
        <v>51859</v>
      </c>
      <c r="J89">
        <v>415669</v>
      </c>
      <c r="K89">
        <v>431960</v>
      </c>
      <c r="L89" s="9">
        <f t="shared" si="109"/>
        <v>0.48141</v>
      </c>
      <c r="M89" s="5">
        <f t="shared" ref="M89:M96" si="115">J89/G89</f>
        <v>4.1566900000000002</v>
      </c>
      <c r="N89" s="5">
        <f t="shared" ref="N89:N96" si="116">K89/G89</f>
        <v>4.3196000000000003</v>
      </c>
      <c r="O89" s="5">
        <f t="shared" ref="O89:O96" si="117">(L89-$L$86)*162</f>
        <v>-2.9235599999999984</v>
      </c>
      <c r="P89" s="4">
        <f t="shared" ref="P89:P96" si="118">-(N89-$N$86)*162</f>
        <v>-26.552340000000065</v>
      </c>
    </row>
    <row r="90" spans="1:16" x14ac:dyDescent="0.5">
      <c r="A90" t="s">
        <v>110</v>
      </c>
      <c r="B90" t="str">
        <f t="shared" si="108"/>
        <v>RNG40xERR60xARM60xTDP60</v>
      </c>
      <c r="C90">
        <v>40</v>
      </c>
      <c r="D90">
        <v>60</v>
      </c>
      <c r="E90">
        <v>60</v>
      </c>
      <c r="F90">
        <v>60</v>
      </c>
      <c r="G90">
        <v>100000</v>
      </c>
      <c r="H90">
        <v>48314</v>
      </c>
      <c r="I90" s="3">
        <f t="shared" si="3"/>
        <v>51686</v>
      </c>
      <c r="J90">
        <v>415216</v>
      </c>
      <c r="K90">
        <v>432624</v>
      </c>
      <c r="L90" s="9">
        <f t="shared" si="109"/>
        <v>0.48314000000000001</v>
      </c>
      <c r="M90" s="5">
        <f t="shared" si="115"/>
        <v>4.1521600000000003</v>
      </c>
      <c r="N90" s="5">
        <f t="shared" si="116"/>
        <v>4.3262400000000003</v>
      </c>
      <c r="O90" s="5">
        <f t="shared" si="117"/>
        <v>-2.6432999999999964</v>
      </c>
      <c r="P90" s="4">
        <f t="shared" si="118"/>
        <v>-27.628020000000063</v>
      </c>
    </row>
    <row r="91" spans="1:16" x14ac:dyDescent="0.5">
      <c r="A91" t="s">
        <v>110</v>
      </c>
      <c r="B91" t="str">
        <f t="shared" si="108"/>
        <v>RNG50xERR60xARM60xTDP60</v>
      </c>
      <c r="C91">
        <v>50</v>
      </c>
      <c r="D91">
        <v>60</v>
      </c>
      <c r="E91">
        <v>60</v>
      </c>
      <c r="F91">
        <v>60</v>
      </c>
      <c r="G91">
        <v>100000</v>
      </c>
      <c r="H91">
        <v>48469</v>
      </c>
      <c r="I91" s="3">
        <f t="shared" si="3"/>
        <v>51531</v>
      </c>
      <c r="J91">
        <v>414277</v>
      </c>
      <c r="K91">
        <v>428281</v>
      </c>
      <c r="L91" s="9">
        <f t="shared" si="109"/>
        <v>0.48469000000000001</v>
      </c>
      <c r="M91" s="5">
        <f t="shared" si="115"/>
        <v>4.1427699999999996</v>
      </c>
      <c r="N91" s="5">
        <f t="shared" si="116"/>
        <v>4.2828099999999996</v>
      </c>
      <c r="O91" s="5">
        <f t="shared" si="117"/>
        <v>-2.3921999999999972</v>
      </c>
      <c r="P91" s="4">
        <f t="shared" si="118"/>
        <v>-20.592359999999942</v>
      </c>
    </row>
    <row r="92" spans="1:16" x14ac:dyDescent="0.5">
      <c r="A92" t="s">
        <v>110</v>
      </c>
      <c r="B92" t="str">
        <f t="shared" si="108"/>
        <v>RNG55xERR60xARM60xTDP60</v>
      </c>
      <c r="C92">
        <v>55</v>
      </c>
      <c r="D92">
        <v>60</v>
      </c>
      <c r="E92">
        <v>60</v>
      </c>
      <c r="F92">
        <v>60</v>
      </c>
      <c r="G92">
        <v>100000</v>
      </c>
      <c r="H92">
        <v>48798</v>
      </c>
      <c r="I92" s="3">
        <f t="shared" si="3"/>
        <v>51202</v>
      </c>
      <c r="J92">
        <v>415995</v>
      </c>
      <c r="K92">
        <v>428498</v>
      </c>
      <c r="L92" s="9">
        <f t="shared" si="109"/>
        <v>0.48798000000000002</v>
      </c>
      <c r="M92" s="5">
        <f t="shared" si="115"/>
        <v>4.1599500000000003</v>
      </c>
      <c r="N92" s="5">
        <f t="shared" si="116"/>
        <v>4.28498</v>
      </c>
      <c r="O92" s="5">
        <f t="shared" si="117"/>
        <v>-1.8592199999999948</v>
      </c>
      <c r="P92" s="4">
        <f t="shared" si="118"/>
        <v>-20.943900000000014</v>
      </c>
    </row>
    <row r="93" spans="1:16" x14ac:dyDescent="0.5">
      <c r="A93" t="s">
        <v>110</v>
      </c>
      <c r="B93" t="str">
        <f t="shared" si="108"/>
        <v>RNG65xERR60xARM60xTDP60</v>
      </c>
      <c r="C93">
        <v>65</v>
      </c>
      <c r="D93">
        <v>60</v>
      </c>
      <c r="E93">
        <v>60</v>
      </c>
      <c r="F93">
        <v>60</v>
      </c>
      <c r="G93">
        <v>100000</v>
      </c>
      <c r="H93">
        <v>51349</v>
      </c>
      <c r="I93" s="3">
        <f t="shared" si="3"/>
        <v>48651</v>
      </c>
      <c r="J93">
        <v>416207</v>
      </c>
      <c r="K93">
        <v>404998</v>
      </c>
      <c r="L93" s="9">
        <f t="shared" si="109"/>
        <v>0.51349</v>
      </c>
      <c r="M93" s="5">
        <f t="shared" si="115"/>
        <v>4.1620699999999999</v>
      </c>
      <c r="N93" s="5">
        <f t="shared" si="116"/>
        <v>4.0499799999999997</v>
      </c>
      <c r="O93" s="5">
        <f t="shared" si="117"/>
        <v>2.2734000000000014</v>
      </c>
      <c r="P93" s="4">
        <f t="shared" si="118"/>
        <v>17.126100000000037</v>
      </c>
    </row>
    <row r="94" spans="1:16" x14ac:dyDescent="0.5">
      <c r="A94" t="s">
        <v>110</v>
      </c>
      <c r="B94" t="str">
        <f t="shared" si="108"/>
        <v>RNG70xERR60xARM60xTDP60</v>
      </c>
      <c r="C94">
        <v>70</v>
      </c>
      <c r="D94">
        <v>60</v>
      </c>
      <c r="E94">
        <v>60</v>
      </c>
      <c r="F94">
        <v>60</v>
      </c>
      <c r="G94">
        <v>100000</v>
      </c>
      <c r="H94">
        <v>50854</v>
      </c>
      <c r="I94" s="3">
        <f t="shared" si="3"/>
        <v>49146</v>
      </c>
      <c r="J94">
        <v>415890</v>
      </c>
      <c r="K94">
        <v>407483</v>
      </c>
      <c r="L94" s="9">
        <f t="shared" si="109"/>
        <v>0.50853999999999999</v>
      </c>
      <c r="M94" s="5">
        <f t="shared" si="115"/>
        <v>4.1589</v>
      </c>
      <c r="N94" s="5">
        <f t="shared" si="116"/>
        <v>4.0748300000000004</v>
      </c>
      <c r="O94" s="5">
        <f t="shared" si="117"/>
        <v>1.4714999999999998</v>
      </c>
      <c r="P94" s="4">
        <f t="shared" si="118"/>
        <v>13.100399999999924</v>
      </c>
    </row>
    <row r="95" spans="1:16" x14ac:dyDescent="0.5">
      <c r="A95" t="s">
        <v>110</v>
      </c>
      <c r="B95" t="str">
        <f t="shared" si="108"/>
        <v>RNG75xERR60xARM60xTDP60</v>
      </c>
      <c r="C95">
        <v>75</v>
      </c>
      <c r="D95">
        <v>60</v>
      </c>
      <c r="E95">
        <v>60</v>
      </c>
      <c r="F95">
        <v>60</v>
      </c>
      <c r="G95">
        <v>100000</v>
      </c>
      <c r="H95">
        <v>50790</v>
      </c>
      <c r="I95" s="3">
        <f t="shared" si="3"/>
        <v>49210</v>
      </c>
      <c r="J95">
        <v>413872</v>
      </c>
      <c r="K95">
        <v>405647</v>
      </c>
      <c r="L95" s="9">
        <f t="shared" si="109"/>
        <v>0.50790000000000002</v>
      </c>
      <c r="M95" s="5">
        <f t="shared" si="115"/>
        <v>4.1387200000000002</v>
      </c>
      <c r="N95" s="5">
        <f t="shared" si="116"/>
        <v>4.05647</v>
      </c>
      <c r="O95" s="5">
        <f t="shared" si="117"/>
        <v>1.367820000000004</v>
      </c>
      <c r="P95" s="4">
        <f t="shared" si="118"/>
        <v>16.074719999999985</v>
      </c>
    </row>
    <row r="96" spans="1:16" x14ac:dyDescent="0.5">
      <c r="A96" t="s">
        <v>110</v>
      </c>
      <c r="B96" t="str">
        <f t="shared" si="108"/>
        <v>RNG80xERR60xARM60xTDP60</v>
      </c>
      <c r="C96">
        <v>80</v>
      </c>
      <c r="D96">
        <v>60</v>
      </c>
      <c r="E96">
        <v>60</v>
      </c>
      <c r="F96">
        <v>60</v>
      </c>
      <c r="G96">
        <v>100000</v>
      </c>
      <c r="H96">
        <v>51192</v>
      </c>
      <c r="I96" s="3">
        <f t="shared" si="3"/>
        <v>48808</v>
      </c>
      <c r="J96">
        <v>416285</v>
      </c>
      <c r="K96">
        <v>405337</v>
      </c>
      <c r="L96" s="9">
        <f t="shared" si="109"/>
        <v>0.51192000000000004</v>
      </c>
      <c r="M96" s="5">
        <f t="shared" si="115"/>
        <v>4.1628499999999997</v>
      </c>
      <c r="N96" s="5">
        <f t="shared" si="116"/>
        <v>4.0533700000000001</v>
      </c>
      <c r="O96" s="5">
        <f t="shared" si="117"/>
        <v>2.0190600000000076</v>
      </c>
      <c r="P96" s="4">
        <f t="shared" si="118"/>
        <v>16.576919999999966</v>
      </c>
    </row>
    <row r="97" spans="1:16" x14ac:dyDescent="0.5">
      <c r="A97" t="s">
        <v>110</v>
      </c>
      <c r="B97" t="str">
        <f t="shared" si="108"/>
        <v>RNG60xERR60xARM20xTDP60</v>
      </c>
      <c r="C97">
        <v>60</v>
      </c>
      <c r="D97">
        <v>60</v>
      </c>
      <c r="E97">
        <v>20</v>
      </c>
      <c r="F97">
        <v>60</v>
      </c>
      <c r="G97">
        <v>100000</v>
      </c>
      <c r="H97">
        <v>48500</v>
      </c>
      <c r="I97" s="3">
        <f t="shared" si="3"/>
        <v>51500</v>
      </c>
      <c r="J97">
        <v>416756</v>
      </c>
      <c r="K97">
        <v>433211</v>
      </c>
      <c r="L97" s="9">
        <f t="shared" ref="L97:L104" si="119">H97/G97</f>
        <v>0.48499999999999999</v>
      </c>
      <c r="M97" s="5">
        <f t="shared" ref="M97:M104" si="120">J97/G97</f>
        <v>4.1675599999999999</v>
      </c>
      <c r="N97" s="5">
        <f t="shared" ref="N97:N104" si="121">K97/G97</f>
        <v>4.3321100000000001</v>
      </c>
      <c r="O97" s="5">
        <f t="shared" ref="O97:O104" si="122">(L97-$L$86)*162</f>
        <v>-2.3419800000000013</v>
      </c>
      <c r="P97" s="4">
        <f t="shared" ref="P97:P104" si="123">-(N97-$N$86)*162</f>
        <v>-28.578960000000031</v>
      </c>
    </row>
    <row r="98" spans="1:16" x14ac:dyDescent="0.5">
      <c r="A98" t="s">
        <v>110</v>
      </c>
      <c r="B98" t="str">
        <f t="shared" si="108"/>
        <v>RNG60xERR60xARM40xTDP60</v>
      </c>
      <c r="C98">
        <v>60</v>
      </c>
      <c r="D98">
        <v>60</v>
      </c>
      <c r="E98">
        <v>40</v>
      </c>
      <c r="F98">
        <v>60</v>
      </c>
      <c r="G98">
        <v>100000</v>
      </c>
      <c r="H98">
        <v>48477</v>
      </c>
      <c r="I98" s="3">
        <f t="shared" ref="I98:I112" si="124">G98-H98</f>
        <v>51523</v>
      </c>
      <c r="J98">
        <v>415635</v>
      </c>
      <c r="K98">
        <v>430831</v>
      </c>
      <c r="L98" s="9">
        <f t="shared" si="119"/>
        <v>0.48476999999999998</v>
      </c>
      <c r="M98" s="5">
        <f t="shared" si="120"/>
        <v>4.1563499999999998</v>
      </c>
      <c r="N98" s="5">
        <f t="shared" si="121"/>
        <v>4.3083099999999996</v>
      </c>
      <c r="O98" s="5">
        <f t="shared" si="122"/>
        <v>-2.3792400000000025</v>
      </c>
      <c r="P98" s="4">
        <f t="shared" si="123"/>
        <v>-24.723359999999953</v>
      </c>
    </row>
    <row r="99" spans="1:16" x14ac:dyDescent="0.5">
      <c r="A99" t="s">
        <v>110</v>
      </c>
      <c r="B99" t="str">
        <f t="shared" si="108"/>
        <v>RNG60xERR60xARM50xTDP60</v>
      </c>
      <c r="C99">
        <v>60</v>
      </c>
      <c r="D99">
        <v>60</v>
      </c>
      <c r="E99">
        <v>50</v>
      </c>
      <c r="F99">
        <v>60</v>
      </c>
      <c r="G99">
        <v>100000</v>
      </c>
      <c r="H99">
        <v>49097</v>
      </c>
      <c r="I99" s="3">
        <f t="shared" si="124"/>
        <v>50903</v>
      </c>
      <c r="J99">
        <v>416075</v>
      </c>
      <c r="K99">
        <v>426002</v>
      </c>
      <c r="L99" s="9">
        <f t="shared" si="119"/>
        <v>0.49097000000000002</v>
      </c>
      <c r="M99" s="5">
        <f t="shared" si="120"/>
        <v>4.1607500000000002</v>
      </c>
      <c r="N99" s="5">
        <f t="shared" si="121"/>
        <v>4.2600199999999999</v>
      </c>
      <c r="O99" s="5">
        <f t="shared" si="122"/>
        <v>-1.3748399999999961</v>
      </c>
      <c r="P99" s="4">
        <f t="shared" si="123"/>
        <v>-16.900379999999998</v>
      </c>
    </row>
    <row r="100" spans="1:16" x14ac:dyDescent="0.5">
      <c r="A100" t="s">
        <v>110</v>
      </c>
      <c r="B100" t="str">
        <f t="shared" si="108"/>
        <v>RNG60xERR60xARM55xTDP60</v>
      </c>
      <c r="C100">
        <v>60</v>
      </c>
      <c r="D100">
        <v>60</v>
      </c>
      <c r="E100">
        <v>55</v>
      </c>
      <c r="F100">
        <v>60</v>
      </c>
      <c r="G100">
        <v>100000</v>
      </c>
      <c r="H100">
        <v>48851</v>
      </c>
      <c r="I100" s="3">
        <f t="shared" si="124"/>
        <v>51149</v>
      </c>
      <c r="J100">
        <v>414288</v>
      </c>
      <c r="K100">
        <v>425202</v>
      </c>
      <c r="L100" s="9">
        <f t="shared" si="119"/>
        <v>0.48851</v>
      </c>
      <c r="M100" s="5">
        <f t="shared" si="120"/>
        <v>4.1428799999999999</v>
      </c>
      <c r="N100" s="5">
        <f t="shared" si="121"/>
        <v>4.2520199999999999</v>
      </c>
      <c r="O100" s="5">
        <f t="shared" si="122"/>
        <v>-1.7733599999999989</v>
      </c>
      <c r="P100" s="4">
        <f t="shared" si="123"/>
        <v>-15.604379999999997</v>
      </c>
    </row>
    <row r="101" spans="1:16" x14ac:dyDescent="0.5">
      <c r="A101" t="s">
        <v>110</v>
      </c>
      <c r="B101" t="str">
        <f t="shared" si="108"/>
        <v>RNG60xERR60xARM65xTDP60</v>
      </c>
      <c r="C101">
        <v>60</v>
      </c>
      <c r="D101">
        <v>60</v>
      </c>
      <c r="E101">
        <v>65</v>
      </c>
      <c r="F101">
        <v>60</v>
      </c>
      <c r="G101">
        <v>100000</v>
      </c>
      <c r="H101">
        <v>50538</v>
      </c>
      <c r="I101" s="3">
        <f t="shared" si="124"/>
        <v>49462</v>
      </c>
      <c r="J101">
        <v>415930</v>
      </c>
      <c r="K101">
        <v>409337</v>
      </c>
      <c r="L101" s="9">
        <f t="shared" si="119"/>
        <v>0.50538000000000005</v>
      </c>
      <c r="M101" s="5">
        <f t="shared" si="120"/>
        <v>4.1593</v>
      </c>
      <c r="N101" s="5">
        <f t="shared" si="121"/>
        <v>4.0933700000000002</v>
      </c>
      <c r="O101" s="5">
        <f t="shared" si="122"/>
        <v>0.95958000000000943</v>
      </c>
      <c r="P101" s="4">
        <f t="shared" si="123"/>
        <v>10.09691999999996</v>
      </c>
    </row>
    <row r="102" spans="1:16" x14ac:dyDescent="0.5">
      <c r="A102" t="s">
        <v>110</v>
      </c>
      <c r="B102" t="str">
        <f t="shared" si="108"/>
        <v>RNG60xERR60xARM70xTDP60</v>
      </c>
      <c r="C102">
        <v>60</v>
      </c>
      <c r="D102">
        <v>60</v>
      </c>
      <c r="E102">
        <v>70</v>
      </c>
      <c r="F102">
        <v>60</v>
      </c>
      <c r="G102">
        <v>100000</v>
      </c>
      <c r="H102">
        <v>51046</v>
      </c>
      <c r="I102" s="3">
        <f t="shared" si="124"/>
        <v>48954</v>
      </c>
      <c r="J102">
        <v>415412</v>
      </c>
      <c r="K102">
        <v>406430</v>
      </c>
      <c r="L102" s="9">
        <f t="shared" si="119"/>
        <v>0.51046000000000002</v>
      </c>
      <c r="M102" s="5">
        <f t="shared" si="120"/>
        <v>4.1541199999999998</v>
      </c>
      <c r="N102" s="5">
        <f t="shared" si="121"/>
        <v>4.0643000000000002</v>
      </c>
      <c r="O102" s="5">
        <f t="shared" si="122"/>
        <v>1.7825400000000051</v>
      </c>
      <c r="P102" s="4">
        <f t="shared" si="123"/>
        <v>14.806259999999948</v>
      </c>
    </row>
    <row r="103" spans="1:16" x14ac:dyDescent="0.5">
      <c r="A103" t="s">
        <v>110</v>
      </c>
      <c r="B103" t="str">
        <f t="shared" si="108"/>
        <v>RNG60xERR60xARM75xTDP60</v>
      </c>
      <c r="C103">
        <v>60</v>
      </c>
      <c r="D103">
        <v>60</v>
      </c>
      <c r="E103">
        <v>75</v>
      </c>
      <c r="F103">
        <v>60</v>
      </c>
      <c r="G103">
        <v>100000</v>
      </c>
      <c r="H103">
        <v>50931</v>
      </c>
      <c r="I103" s="3">
        <f t="shared" si="124"/>
        <v>49069</v>
      </c>
      <c r="J103">
        <v>414462</v>
      </c>
      <c r="K103">
        <v>405779</v>
      </c>
      <c r="L103" s="9">
        <f t="shared" si="119"/>
        <v>0.50931000000000004</v>
      </c>
      <c r="M103" s="5">
        <f t="shared" si="120"/>
        <v>4.1446199999999997</v>
      </c>
      <c r="N103" s="5">
        <f t="shared" si="121"/>
        <v>4.0577899999999998</v>
      </c>
      <c r="O103" s="5">
        <f t="shared" si="122"/>
        <v>1.5962400000000077</v>
      </c>
      <c r="P103" s="4">
        <f t="shared" si="123"/>
        <v>15.860880000000023</v>
      </c>
    </row>
    <row r="104" spans="1:16" x14ac:dyDescent="0.5">
      <c r="A104" t="s">
        <v>110</v>
      </c>
      <c r="B104" t="str">
        <f t="shared" si="108"/>
        <v>RNG60xERR60xARM80xTDP60</v>
      </c>
      <c r="C104">
        <v>60</v>
      </c>
      <c r="D104">
        <v>60</v>
      </c>
      <c r="E104">
        <v>80</v>
      </c>
      <c r="F104">
        <v>60</v>
      </c>
      <c r="G104">
        <v>100000</v>
      </c>
      <c r="H104">
        <v>50879</v>
      </c>
      <c r="I104" s="3">
        <f t="shared" si="124"/>
        <v>49121</v>
      </c>
      <c r="J104">
        <v>414976</v>
      </c>
      <c r="K104">
        <v>408505</v>
      </c>
      <c r="L104" s="9">
        <f t="shared" si="119"/>
        <v>0.50878999999999996</v>
      </c>
      <c r="M104" s="5">
        <f t="shared" si="120"/>
        <v>4.1497599999999997</v>
      </c>
      <c r="N104" s="5">
        <f t="shared" si="121"/>
        <v>4.0850499999999998</v>
      </c>
      <c r="O104" s="5">
        <f t="shared" si="122"/>
        <v>1.5119999999999953</v>
      </c>
      <c r="P104" s="4">
        <f t="shared" si="123"/>
        <v>11.444760000000013</v>
      </c>
    </row>
    <row r="105" spans="1:16" x14ac:dyDescent="0.5">
      <c r="A105" t="s">
        <v>110</v>
      </c>
      <c r="B105" t="str">
        <f t="shared" si="108"/>
        <v>RNG60xERR20xARM60xTDP60</v>
      </c>
      <c r="C105">
        <v>60</v>
      </c>
      <c r="D105">
        <v>20</v>
      </c>
      <c r="E105">
        <v>60</v>
      </c>
      <c r="F105">
        <v>60</v>
      </c>
      <c r="G105">
        <v>100000</v>
      </c>
      <c r="H105">
        <v>49404</v>
      </c>
      <c r="I105" s="3">
        <f t="shared" si="124"/>
        <v>50596</v>
      </c>
      <c r="J105">
        <v>415751</v>
      </c>
      <c r="K105">
        <v>421165</v>
      </c>
      <c r="L105" s="9">
        <f t="shared" ref="L105:L108" si="125">H105/G105</f>
        <v>0.49403999999999998</v>
      </c>
      <c r="M105" s="5">
        <f t="shared" ref="M105:M108" si="126">J105/G105</f>
        <v>4.1575100000000003</v>
      </c>
      <c r="N105" s="5">
        <f t="shared" ref="N105:N108" si="127">K105/G105</f>
        <v>4.2116499999999997</v>
      </c>
      <c r="O105" s="5">
        <f t="shared" ref="O105:O108" si="128">(L105-$L$86)*162</f>
        <v>-0.87750000000000228</v>
      </c>
      <c r="P105" s="4">
        <f t="shared" ref="P105:P108" si="129">-(N105-$N$86)*162</f>
        <v>-9.0644399999999585</v>
      </c>
    </row>
    <row r="106" spans="1:16" x14ac:dyDescent="0.5">
      <c r="A106" t="s">
        <v>110</v>
      </c>
      <c r="B106" t="str">
        <f t="shared" si="108"/>
        <v>RNG60xERR80xARM60xTDP60</v>
      </c>
      <c r="C106">
        <v>60</v>
      </c>
      <c r="D106">
        <v>80</v>
      </c>
      <c r="E106">
        <v>60</v>
      </c>
      <c r="F106">
        <v>60</v>
      </c>
      <c r="G106">
        <v>100000</v>
      </c>
      <c r="H106">
        <v>49806</v>
      </c>
      <c r="I106" s="3">
        <f t="shared" si="124"/>
        <v>50194</v>
      </c>
      <c r="J106">
        <v>413676</v>
      </c>
      <c r="K106">
        <v>413628</v>
      </c>
      <c r="L106" s="9">
        <f t="shared" si="125"/>
        <v>0.49806</v>
      </c>
      <c r="M106" s="5">
        <f t="shared" si="126"/>
        <v>4.1367599999999998</v>
      </c>
      <c r="N106" s="5">
        <f t="shared" si="127"/>
        <v>4.1362800000000002</v>
      </c>
      <c r="O106" s="5">
        <f t="shared" si="128"/>
        <v>-0.22625999999999846</v>
      </c>
      <c r="P106" s="4">
        <f t="shared" si="129"/>
        <v>3.1454999999999593</v>
      </c>
    </row>
    <row r="107" spans="1:16" x14ac:dyDescent="0.5">
      <c r="A107" t="s">
        <v>110</v>
      </c>
      <c r="B107" t="str">
        <f t="shared" si="108"/>
        <v>RNG60xERR60xARM60xTDP20</v>
      </c>
      <c r="C107">
        <v>60</v>
      </c>
      <c r="D107">
        <v>60</v>
      </c>
      <c r="E107">
        <v>60</v>
      </c>
      <c r="F107">
        <v>20</v>
      </c>
      <c r="G107">
        <v>100000</v>
      </c>
      <c r="H107">
        <v>49248</v>
      </c>
      <c r="I107" s="3">
        <f t="shared" si="124"/>
        <v>50752</v>
      </c>
      <c r="J107">
        <v>415756</v>
      </c>
      <c r="K107">
        <v>421897</v>
      </c>
      <c r="L107" s="9">
        <f t="shared" si="125"/>
        <v>0.49247999999999997</v>
      </c>
      <c r="M107" s="5">
        <f t="shared" si="126"/>
        <v>4.1575600000000001</v>
      </c>
      <c r="N107" s="5">
        <f t="shared" si="127"/>
        <v>4.2189699999999997</v>
      </c>
      <c r="O107" s="5">
        <f t="shared" si="128"/>
        <v>-1.1302200000000031</v>
      </c>
      <c r="P107" s="4">
        <f t="shared" si="129"/>
        <v>-10.250279999999957</v>
      </c>
    </row>
    <row r="108" spans="1:16" x14ac:dyDescent="0.5">
      <c r="A108" t="s">
        <v>110</v>
      </c>
      <c r="B108" t="str">
        <f t="shared" si="108"/>
        <v>RNG60xERR60xARM60xTDP80</v>
      </c>
      <c r="C108">
        <v>60</v>
      </c>
      <c r="D108">
        <v>60</v>
      </c>
      <c r="E108">
        <v>60</v>
      </c>
      <c r="F108">
        <v>80</v>
      </c>
      <c r="G108">
        <v>100000</v>
      </c>
      <c r="H108">
        <v>50275</v>
      </c>
      <c r="I108" s="3">
        <f t="shared" si="124"/>
        <v>49725</v>
      </c>
      <c r="J108">
        <v>416283</v>
      </c>
      <c r="K108">
        <v>413150</v>
      </c>
      <c r="L108" s="9">
        <f t="shared" si="125"/>
        <v>0.50275000000000003</v>
      </c>
      <c r="M108" s="5">
        <f t="shared" si="126"/>
        <v>4.1628299999999996</v>
      </c>
      <c r="N108" s="5">
        <f t="shared" si="127"/>
        <v>4.1315</v>
      </c>
      <c r="O108" s="5">
        <f t="shared" si="128"/>
        <v>0.53352000000000599</v>
      </c>
      <c r="P108" s="4">
        <f t="shared" si="129"/>
        <v>3.9198599999999963</v>
      </c>
    </row>
    <row r="109" spans="1:16" x14ac:dyDescent="0.5">
      <c r="A109" t="s">
        <v>110</v>
      </c>
      <c r="B109" t="str">
        <f t="shared" si="108"/>
        <v>RNG40xERR40xARM40xTDP40</v>
      </c>
      <c r="C109">
        <v>40</v>
      </c>
      <c r="D109">
        <v>40</v>
      </c>
      <c r="E109">
        <v>40</v>
      </c>
      <c r="F109">
        <v>40</v>
      </c>
      <c r="G109">
        <v>100000</v>
      </c>
      <c r="H109">
        <v>47477</v>
      </c>
      <c r="I109" s="3">
        <f t="shared" si="124"/>
        <v>52523</v>
      </c>
      <c r="J109">
        <v>413615</v>
      </c>
      <c r="K109">
        <v>438799</v>
      </c>
      <c r="L109" s="9">
        <f t="shared" ref="L109:L112" si="130">H109/G109</f>
        <v>0.47477000000000003</v>
      </c>
      <c r="M109" s="5">
        <f t="shared" ref="M109:M112" si="131">J109/G109</f>
        <v>4.1361499999999998</v>
      </c>
      <c r="N109" s="5">
        <f t="shared" ref="N109:N112" si="132">K109/G109</f>
        <v>4.3879900000000003</v>
      </c>
      <c r="O109" s="5">
        <f t="shared" ref="O109:O112" si="133">(L109-$L$86)*162</f>
        <v>-3.999239999999995</v>
      </c>
      <c r="P109" s="4">
        <f t="shared" ref="P109:P112" si="134">-(N109-$N$86)*162</f>
        <v>-37.631520000000059</v>
      </c>
    </row>
    <row r="110" spans="1:16" x14ac:dyDescent="0.5">
      <c r="A110" t="s">
        <v>110</v>
      </c>
      <c r="B110" t="str">
        <f t="shared" si="108"/>
        <v>RNG55xERR55xARM55xTDP55</v>
      </c>
      <c r="C110">
        <v>55</v>
      </c>
      <c r="D110">
        <v>55</v>
      </c>
      <c r="E110">
        <v>55</v>
      </c>
      <c r="F110">
        <v>55</v>
      </c>
      <c r="G110">
        <v>100000</v>
      </c>
      <c r="H110">
        <v>48579</v>
      </c>
      <c r="I110" s="3">
        <f t="shared" si="124"/>
        <v>51421</v>
      </c>
      <c r="J110">
        <v>414312</v>
      </c>
      <c r="K110">
        <v>429959</v>
      </c>
      <c r="L110" s="9">
        <f t="shared" si="130"/>
        <v>0.48579</v>
      </c>
      <c r="M110" s="5">
        <f t="shared" si="131"/>
        <v>4.1431199999999997</v>
      </c>
      <c r="N110" s="5">
        <f t="shared" si="132"/>
        <v>4.2995900000000002</v>
      </c>
      <c r="O110" s="5">
        <f t="shared" si="133"/>
        <v>-2.2139999999999991</v>
      </c>
      <c r="P110" s="4">
        <f t="shared" si="134"/>
        <v>-23.310720000000053</v>
      </c>
    </row>
    <row r="111" spans="1:16" x14ac:dyDescent="0.5">
      <c r="A111" t="s">
        <v>110</v>
      </c>
      <c r="B111" t="str">
        <f t="shared" si="108"/>
        <v>RNG65xERR65xARM65xTDP65</v>
      </c>
      <c r="C111">
        <v>65</v>
      </c>
      <c r="D111">
        <v>65</v>
      </c>
      <c r="E111">
        <v>65</v>
      </c>
      <c r="F111">
        <v>65</v>
      </c>
      <c r="G111">
        <v>100000</v>
      </c>
      <c r="H111">
        <v>51249</v>
      </c>
      <c r="I111" s="3">
        <f t="shared" si="124"/>
        <v>48751</v>
      </c>
      <c r="J111">
        <v>416473</v>
      </c>
      <c r="K111">
        <v>405216</v>
      </c>
      <c r="L111" s="9">
        <f t="shared" si="130"/>
        <v>0.51249</v>
      </c>
      <c r="M111" s="5">
        <f t="shared" si="131"/>
        <v>4.1647299999999996</v>
      </c>
      <c r="N111" s="5">
        <f t="shared" si="132"/>
        <v>4.0521599999999998</v>
      </c>
      <c r="O111" s="5">
        <f t="shared" si="133"/>
        <v>2.1114000000000015</v>
      </c>
      <c r="P111" s="4">
        <f t="shared" si="134"/>
        <v>16.772940000000027</v>
      </c>
    </row>
    <row r="112" spans="1:16" x14ac:dyDescent="0.5">
      <c r="A112" t="s">
        <v>110</v>
      </c>
      <c r="B112" t="str">
        <f t="shared" si="108"/>
        <v>RNG80xERR60xARM80xTDP60</v>
      </c>
      <c r="C112">
        <v>80</v>
      </c>
      <c r="D112">
        <v>60</v>
      </c>
      <c r="E112">
        <v>80</v>
      </c>
      <c r="F112">
        <v>60</v>
      </c>
      <c r="G112">
        <v>100000</v>
      </c>
      <c r="H112">
        <v>51072</v>
      </c>
      <c r="I112" s="3">
        <f t="shared" si="124"/>
        <v>48928</v>
      </c>
      <c r="J112">
        <v>415395</v>
      </c>
      <c r="K112">
        <v>404965</v>
      </c>
      <c r="L112" s="9">
        <f t="shared" si="130"/>
        <v>0.51071999999999995</v>
      </c>
      <c r="M112" s="5">
        <f t="shared" si="131"/>
        <v>4.15395</v>
      </c>
      <c r="N112" s="5">
        <f t="shared" si="132"/>
        <v>4.0496499999999997</v>
      </c>
      <c r="O112" s="5">
        <f t="shared" si="133"/>
        <v>1.8246599999999933</v>
      </c>
      <c r="P112" s="4">
        <f t="shared" si="134"/>
        <v>17.179560000000031</v>
      </c>
    </row>
    <row r="113" spans="1:16" x14ac:dyDescent="0.5">
      <c r="A113" s="23" t="s">
        <v>174</v>
      </c>
      <c r="B113" s="18" t="s">
        <v>165</v>
      </c>
      <c r="C113" s="18">
        <v>60</v>
      </c>
      <c r="D113" s="18">
        <v>50</v>
      </c>
      <c r="E113" s="18">
        <v>55</v>
      </c>
      <c r="F113" s="18"/>
      <c r="G113" s="18">
        <v>100000</v>
      </c>
      <c r="H113" s="19">
        <v>49945.666666666664</v>
      </c>
      <c r="I113" s="19">
        <v>50054.333333333336</v>
      </c>
      <c r="J113" s="19">
        <v>414749</v>
      </c>
      <c r="K113" s="19">
        <v>415569.66666666669</v>
      </c>
      <c r="L113" s="20">
        <v>0.49945666666666666</v>
      </c>
      <c r="M113" s="21">
        <v>4.1474900000000003</v>
      </c>
      <c r="N113" s="21">
        <v>4.1556966666666666</v>
      </c>
      <c r="O113" s="21" t="s">
        <v>50</v>
      </c>
      <c r="P113" s="22" t="s">
        <v>50</v>
      </c>
    </row>
    <row r="114" spans="1:16" x14ac:dyDescent="0.5">
      <c r="A114" t="s">
        <v>174</v>
      </c>
      <c r="B114" t="str">
        <f>_xlfn.CONCAT("RNG",C114,"xERR",D114,"xARM",E114)</f>
        <v>RNG20xERR20xARM20</v>
      </c>
      <c r="C114">
        <v>20</v>
      </c>
      <c r="D114">
        <v>20</v>
      </c>
      <c r="E114">
        <v>20</v>
      </c>
      <c r="G114">
        <v>100000</v>
      </c>
      <c r="H114">
        <v>48447</v>
      </c>
      <c r="I114" s="3">
        <f>G114-H114</f>
        <v>51553</v>
      </c>
      <c r="J114">
        <v>413764</v>
      </c>
      <c r="K114">
        <v>429546</v>
      </c>
      <c r="L114" s="9">
        <f>H114/G114</f>
        <v>0.48447000000000001</v>
      </c>
      <c r="M114" s="5">
        <f t="shared" ref="M114" si="135">J114/G114</f>
        <v>4.1376400000000002</v>
      </c>
      <c r="N114" s="5">
        <f t="shared" ref="N114" si="136">K114/G114</f>
        <v>4.2954600000000003</v>
      </c>
      <c r="O114" s="5">
        <f>(L114-$L$86)*162</f>
        <v>-2.4278399999999971</v>
      </c>
      <c r="P114" s="4">
        <f>-(N114-$N$86)*162</f>
        <v>-22.641660000000059</v>
      </c>
    </row>
    <row r="115" spans="1:16" x14ac:dyDescent="0.5">
      <c r="A115" t="s">
        <v>174</v>
      </c>
      <c r="B115" t="str">
        <f>_xlfn.CONCAT("RNG",C115,"xERR",D115,"xARM",E115)</f>
        <v>RNG80xERR80xARM80</v>
      </c>
      <c r="C115">
        <v>80</v>
      </c>
      <c r="D115">
        <v>80</v>
      </c>
      <c r="E115">
        <v>80</v>
      </c>
      <c r="G115">
        <v>100000</v>
      </c>
      <c r="H115">
        <v>52218</v>
      </c>
      <c r="I115" s="3">
        <f>G115-H115</f>
        <v>47782</v>
      </c>
      <c r="J115">
        <v>414993</v>
      </c>
      <c r="K115">
        <v>392942</v>
      </c>
      <c r="L115" s="9">
        <f>H115/G115</f>
        <v>0.52217999999999998</v>
      </c>
      <c r="M115" s="5">
        <f t="shared" ref="M115" si="137">J115/G115</f>
        <v>4.1499300000000003</v>
      </c>
      <c r="N115" s="5">
        <f t="shared" ref="N115" si="138">K115/G115</f>
        <v>3.9294199999999999</v>
      </c>
      <c r="O115" s="5">
        <f>(L115-$L$86)*162</f>
        <v>3.6811799999999977</v>
      </c>
      <c r="P115" s="4">
        <f>-(N115-$N$86)*162</f>
        <v>36.656820000000003</v>
      </c>
    </row>
    <row r="116" spans="1:16" x14ac:dyDescent="0.5">
      <c r="A116" t="s">
        <v>174</v>
      </c>
      <c r="B116" t="str">
        <f t="shared" ref="B116:B127" si="139">_xlfn.CONCAT("RNG",C116,"xERR",D116,"xARM",E116)</f>
        <v>RNG20xERR50xARM55</v>
      </c>
      <c r="C116">
        <v>20</v>
      </c>
      <c r="D116">
        <v>50</v>
      </c>
      <c r="E116">
        <v>55</v>
      </c>
      <c r="G116">
        <v>100000</v>
      </c>
      <c r="H116">
        <v>49330</v>
      </c>
      <c r="I116" s="3">
        <f t="shared" ref="I116:I127" si="140">G116-H116</f>
        <v>50670</v>
      </c>
      <c r="J116">
        <v>415075</v>
      </c>
      <c r="K116">
        <v>423298</v>
      </c>
      <c r="L116" s="9">
        <f t="shared" ref="L116:L123" si="141">H116/G116</f>
        <v>0.49330000000000002</v>
      </c>
      <c r="M116" s="5">
        <f t="shared" ref="M116:M123" si="142">J116/G116</f>
        <v>4.1507500000000004</v>
      </c>
      <c r="N116" s="5">
        <f t="shared" ref="N116:N123" si="143">K116/G116</f>
        <v>4.2329800000000004</v>
      </c>
      <c r="O116" s="5">
        <f t="shared" ref="O116:O123" si="144">(L116-$L$86)*162</f>
        <v>-0.99737999999999627</v>
      </c>
      <c r="P116" s="4">
        <f t="shared" ref="P116:P123" si="145">-(N116-$N$86)*162</f>
        <v>-12.519900000000078</v>
      </c>
    </row>
    <row r="117" spans="1:16" x14ac:dyDescent="0.5">
      <c r="A117" t="s">
        <v>174</v>
      </c>
      <c r="B117" t="str">
        <f t="shared" si="139"/>
        <v>RNG40xERR50xARM55</v>
      </c>
      <c r="C117">
        <v>40</v>
      </c>
      <c r="D117">
        <v>50</v>
      </c>
      <c r="E117">
        <v>55</v>
      </c>
      <c r="G117">
        <v>100000</v>
      </c>
      <c r="H117">
        <v>49276</v>
      </c>
      <c r="I117" s="3">
        <f t="shared" si="140"/>
        <v>50724</v>
      </c>
      <c r="J117">
        <v>414856</v>
      </c>
      <c r="K117">
        <v>422443</v>
      </c>
      <c r="L117" s="9">
        <f t="shared" si="141"/>
        <v>0.49275999999999998</v>
      </c>
      <c r="M117" s="5">
        <f t="shared" si="142"/>
        <v>4.1485599999999998</v>
      </c>
      <c r="N117" s="5">
        <f t="shared" si="143"/>
        <v>4.2244299999999999</v>
      </c>
      <c r="O117" s="5">
        <f t="shared" si="144"/>
        <v>-1.0848600000000028</v>
      </c>
      <c r="P117" s="4">
        <f t="shared" si="145"/>
        <v>-11.134799999999997</v>
      </c>
    </row>
    <row r="118" spans="1:16" x14ac:dyDescent="0.5">
      <c r="A118" t="s">
        <v>174</v>
      </c>
      <c r="B118" t="str">
        <f t="shared" si="139"/>
        <v>RNG50xERR50xARM55</v>
      </c>
      <c r="C118">
        <v>50</v>
      </c>
      <c r="D118">
        <v>50</v>
      </c>
      <c r="E118">
        <v>55</v>
      </c>
      <c r="G118">
        <v>100000</v>
      </c>
      <c r="H118">
        <v>49514</v>
      </c>
      <c r="I118" s="3">
        <f t="shared" si="140"/>
        <v>50486</v>
      </c>
      <c r="J118">
        <v>416688</v>
      </c>
      <c r="K118">
        <v>421084</v>
      </c>
      <c r="L118" s="9">
        <f t="shared" si="141"/>
        <v>0.49514000000000002</v>
      </c>
      <c r="M118" s="5">
        <f t="shared" si="142"/>
        <v>4.1668799999999999</v>
      </c>
      <c r="N118" s="5">
        <f t="shared" si="143"/>
        <v>4.2108400000000001</v>
      </c>
      <c r="O118" s="5">
        <f t="shared" si="144"/>
        <v>-0.69929999999999493</v>
      </c>
      <c r="P118" s="4">
        <f t="shared" si="145"/>
        <v>-8.9332200000000341</v>
      </c>
    </row>
    <row r="119" spans="1:16" x14ac:dyDescent="0.5">
      <c r="A119" t="s">
        <v>174</v>
      </c>
      <c r="B119" t="str">
        <f t="shared" si="139"/>
        <v>RNG55xERR50xARM55</v>
      </c>
      <c r="C119">
        <v>55</v>
      </c>
      <c r="D119">
        <v>50</v>
      </c>
      <c r="E119">
        <v>55</v>
      </c>
      <c r="G119">
        <v>100000</v>
      </c>
      <c r="H119">
        <v>49245</v>
      </c>
      <c r="I119" s="3">
        <f t="shared" si="140"/>
        <v>50755</v>
      </c>
      <c r="J119">
        <v>414473</v>
      </c>
      <c r="K119">
        <v>422666</v>
      </c>
      <c r="L119" s="9">
        <f t="shared" si="141"/>
        <v>0.49245</v>
      </c>
      <c r="M119" s="5">
        <f t="shared" si="142"/>
        <v>4.14473</v>
      </c>
      <c r="N119" s="5">
        <f t="shared" si="143"/>
        <v>4.2266599999999999</v>
      </c>
      <c r="O119" s="5">
        <f t="shared" si="144"/>
        <v>-1.135079999999999</v>
      </c>
      <c r="P119" s="4">
        <f t="shared" si="145"/>
        <v>-11.496059999999989</v>
      </c>
    </row>
    <row r="120" spans="1:16" x14ac:dyDescent="0.5">
      <c r="A120" t="s">
        <v>174</v>
      </c>
      <c r="B120" t="str">
        <f t="shared" si="139"/>
        <v>RNG65xERR50xARM55</v>
      </c>
      <c r="C120">
        <v>65</v>
      </c>
      <c r="D120">
        <v>50</v>
      </c>
      <c r="E120">
        <v>55</v>
      </c>
      <c r="G120">
        <v>100000</v>
      </c>
      <c r="H120">
        <v>51861</v>
      </c>
      <c r="I120" s="3">
        <f t="shared" si="140"/>
        <v>48139</v>
      </c>
      <c r="J120">
        <v>416826</v>
      </c>
      <c r="K120">
        <v>398700</v>
      </c>
      <c r="L120" s="9">
        <f t="shared" si="141"/>
        <v>0.51861000000000002</v>
      </c>
      <c r="M120" s="5">
        <f t="shared" si="142"/>
        <v>4.1682600000000001</v>
      </c>
      <c r="N120" s="5">
        <f t="shared" si="143"/>
        <v>3.9870000000000001</v>
      </c>
      <c r="O120" s="5">
        <f t="shared" si="144"/>
        <v>3.1028400000000036</v>
      </c>
      <c r="P120" s="4">
        <f t="shared" si="145"/>
        <v>27.32885999999997</v>
      </c>
    </row>
    <row r="121" spans="1:16" x14ac:dyDescent="0.5">
      <c r="A121" t="s">
        <v>174</v>
      </c>
      <c r="B121" t="str">
        <f t="shared" si="139"/>
        <v>RNG70xERR50xARM55</v>
      </c>
      <c r="C121">
        <v>70</v>
      </c>
      <c r="D121">
        <v>50</v>
      </c>
      <c r="E121">
        <v>55</v>
      </c>
      <c r="G121">
        <v>100000</v>
      </c>
      <c r="H121">
        <v>51797</v>
      </c>
      <c r="I121" s="3">
        <f t="shared" si="140"/>
        <v>48203</v>
      </c>
      <c r="J121">
        <v>415809</v>
      </c>
      <c r="K121">
        <v>396903</v>
      </c>
      <c r="L121" s="9">
        <f t="shared" si="141"/>
        <v>0.51797000000000004</v>
      </c>
      <c r="M121" s="5">
        <f t="shared" si="142"/>
        <v>4.1580899999999996</v>
      </c>
      <c r="N121" s="5">
        <f t="shared" si="143"/>
        <v>3.9690300000000001</v>
      </c>
      <c r="O121" s="5">
        <f t="shared" si="144"/>
        <v>2.9991600000000078</v>
      </c>
      <c r="P121" s="4">
        <f t="shared" si="145"/>
        <v>30.239999999999981</v>
      </c>
    </row>
    <row r="122" spans="1:16" x14ac:dyDescent="0.5">
      <c r="A122" t="s">
        <v>174</v>
      </c>
      <c r="B122" t="str">
        <f t="shared" si="139"/>
        <v>RNG75xERR50xARM55</v>
      </c>
      <c r="C122">
        <v>75</v>
      </c>
      <c r="D122">
        <v>50</v>
      </c>
      <c r="E122">
        <v>55</v>
      </c>
      <c r="G122">
        <v>100000</v>
      </c>
      <c r="H122">
        <v>52058</v>
      </c>
      <c r="I122" s="3">
        <f t="shared" si="140"/>
        <v>47942</v>
      </c>
      <c r="J122">
        <v>414954</v>
      </c>
      <c r="K122">
        <v>397616</v>
      </c>
      <c r="L122" s="9">
        <f t="shared" si="141"/>
        <v>0.52058000000000004</v>
      </c>
      <c r="M122" s="5">
        <f t="shared" si="142"/>
        <v>4.14954</v>
      </c>
      <c r="N122" s="5">
        <f t="shared" si="143"/>
        <v>3.9761600000000001</v>
      </c>
      <c r="O122" s="5">
        <f t="shared" si="144"/>
        <v>3.421980000000008</v>
      </c>
      <c r="P122" s="4">
        <f t="shared" si="145"/>
        <v>29.084939999999968</v>
      </c>
    </row>
    <row r="123" spans="1:16" x14ac:dyDescent="0.5">
      <c r="A123" t="s">
        <v>174</v>
      </c>
      <c r="B123" t="str">
        <f t="shared" si="139"/>
        <v>RNG80xERR50xARM55</v>
      </c>
      <c r="C123">
        <v>80</v>
      </c>
      <c r="D123">
        <v>50</v>
      </c>
      <c r="E123">
        <v>55</v>
      </c>
      <c r="G123">
        <v>100000</v>
      </c>
      <c r="H123">
        <v>51667</v>
      </c>
      <c r="I123" s="3">
        <f t="shared" si="140"/>
        <v>48333</v>
      </c>
      <c r="J123">
        <v>415974</v>
      </c>
      <c r="K123">
        <v>399826</v>
      </c>
      <c r="L123" s="9">
        <f t="shared" si="141"/>
        <v>0.51666999999999996</v>
      </c>
      <c r="M123" s="5">
        <f t="shared" si="142"/>
        <v>4.1597400000000002</v>
      </c>
      <c r="N123" s="5">
        <f t="shared" si="143"/>
        <v>3.9982600000000001</v>
      </c>
      <c r="O123" s="5">
        <f t="shared" si="144"/>
        <v>2.788559999999995</v>
      </c>
      <c r="P123" s="4">
        <f t="shared" si="145"/>
        <v>25.504739999999963</v>
      </c>
    </row>
    <row r="124" spans="1:16" x14ac:dyDescent="0.5">
      <c r="A124" t="s">
        <v>174</v>
      </c>
      <c r="B124" t="str">
        <f t="shared" si="139"/>
        <v>RNG60xERR50xARM20</v>
      </c>
      <c r="C124">
        <v>60</v>
      </c>
      <c r="D124">
        <v>50</v>
      </c>
      <c r="E124">
        <v>20</v>
      </c>
      <c r="G124">
        <v>100000</v>
      </c>
      <c r="H124">
        <v>49816</v>
      </c>
      <c r="I124" s="3">
        <f t="shared" si="140"/>
        <v>50184</v>
      </c>
      <c r="J124">
        <v>416585</v>
      </c>
      <c r="K124">
        <v>419354</v>
      </c>
      <c r="L124" s="9">
        <f t="shared" ref="L124:L127" si="146">H124/G124</f>
        <v>0.49815999999999999</v>
      </c>
      <c r="M124" s="5">
        <f t="shared" ref="M124:M127" si="147">J124/G124</f>
        <v>4.1658499999999998</v>
      </c>
      <c r="N124" s="5">
        <f t="shared" ref="N124:N127" si="148">K124/G124</f>
        <v>4.1935399999999996</v>
      </c>
      <c r="O124" s="5">
        <f>(L124-$L$86)*162</f>
        <v>-0.21006000000000025</v>
      </c>
      <c r="P124" s="4">
        <f>-(N124-$N$86)*162</f>
        <v>-6.1306199999999471</v>
      </c>
    </row>
    <row r="125" spans="1:16" x14ac:dyDescent="0.5">
      <c r="A125" t="s">
        <v>174</v>
      </c>
      <c r="B125" t="str">
        <f>_xlfn.CONCAT("RNG",C125,"xERR",D125,"xARM",E125)</f>
        <v>RNG60xERR50xARM80</v>
      </c>
      <c r="C125">
        <v>60</v>
      </c>
      <c r="D125">
        <v>50</v>
      </c>
      <c r="E125">
        <v>80</v>
      </c>
      <c r="G125">
        <v>100000</v>
      </c>
      <c r="H125">
        <v>50461</v>
      </c>
      <c r="I125" s="3">
        <f>G125-H125</f>
        <v>49539</v>
      </c>
      <c r="J125">
        <v>415919</v>
      </c>
      <c r="K125">
        <v>410724</v>
      </c>
      <c r="L125" s="9">
        <f>H125/G125</f>
        <v>0.50461</v>
      </c>
      <c r="M125" s="5">
        <f>J125/G125</f>
        <v>4.1591899999999997</v>
      </c>
      <c r="N125" s="5">
        <f>K125/G125</f>
        <v>4.10724</v>
      </c>
      <c r="O125" s="5">
        <f>(L125-$L$86)*162</f>
        <v>0.83484000000000158</v>
      </c>
      <c r="P125" s="4">
        <f>-(N125-$N$86)*162</f>
        <v>7.849979999999988</v>
      </c>
    </row>
    <row r="126" spans="1:16" x14ac:dyDescent="0.5">
      <c r="A126" t="s">
        <v>174</v>
      </c>
      <c r="B126" t="str">
        <f t="shared" si="139"/>
        <v>RNG60xERR20xARM55</v>
      </c>
      <c r="C126">
        <v>60</v>
      </c>
      <c r="D126">
        <v>20</v>
      </c>
      <c r="E126">
        <v>55</v>
      </c>
      <c r="G126">
        <v>100000</v>
      </c>
      <c r="H126">
        <v>49807</v>
      </c>
      <c r="I126" s="3">
        <f t="shared" si="140"/>
        <v>50193</v>
      </c>
      <c r="J126">
        <v>415205</v>
      </c>
      <c r="K126">
        <v>416860</v>
      </c>
      <c r="L126" s="9">
        <f t="shared" si="146"/>
        <v>0.49807000000000001</v>
      </c>
      <c r="M126" s="5">
        <f t="shared" si="147"/>
        <v>4.15205</v>
      </c>
      <c r="N126" s="5">
        <f t="shared" si="148"/>
        <v>4.1685999999999996</v>
      </c>
      <c r="O126" s="5">
        <f>(L126-$L$86)*162</f>
        <v>-0.22463999999999684</v>
      </c>
      <c r="P126" s="4">
        <f>-(N126-$N$86)*162</f>
        <v>-2.0903399999999532</v>
      </c>
    </row>
    <row r="127" spans="1:16" x14ac:dyDescent="0.5">
      <c r="A127" t="s">
        <v>174</v>
      </c>
      <c r="B127" t="str">
        <f t="shared" si="139"/>
        <v>RNG60xERR80xARM55</v>
      </c>
      <c r="C127">
        <v>60</v>
      </c>
      <c r="D127">
        <v>80</v>
      </c>
      <c r="E127">
        <v>55</v>
      </c>
      <c r="G127">
        <v>100000</v>
      </c>
      <c r="H127">
        <v>50096</v>
      </c>
      <c r="I127" s="3">
        <f t="shared" si="140"/>
        <v>49904</v>
      </c>
      <c r="J127">
        <v>415124</v>
      </c>
      <c r="K127">
        <v>413965</v>
      </c>
      <c r="L127" s="9">
        <f t="shared" si="146"/>
        <v>0.50095999999999996</v>
      </c>
      <c r="M127" s="5">
        <f t="shared" si="147"/>
        <v>4.1512399999999996</v>
      </c>
      <c r="N127" s="5">
        <f t="shared" si="148"/>
        <v>4.1396499999999996</v>
      </c>
      <c r="O127" s="5">
        <f>(L127-$L$86)*162</f>
        <v>0.24353999999999476</v>
      </c>
      <c r="P127" s="4">
        <f>-(N127-$N$86)*162</f>
        <v>2.5995600000000518</v>
      </c>
    </row>
    <row r="128" spans="1:16" x14ac:dyDescent="0.5">
      <c r="A128" s="23" t="s">
        <v>246</v>
      </c>
      <c r="B128" s="18" t="s">
        <v>165</v>
      </c>
      <c r="C128" s="18">
        <v>50</v>
      </c>
      <c r="D128" s="18">
        <v>50</v>
      </c>
      <c r="E128" s="18">
        <v>50</v>
      </c>
      <c r="F128" s="18"/>
      <c r="G128" s="18">
        <v>100000</v>
      </c>
      <c r="H128" s="19">
        <v>49945.666666666664</v>
      </c>
      <c r="I128" s="19">
        <v>50054.333333333336</v>
      </c>
      <c r="J128" s="19">
        <v>414749</v>
      </c>
      <c r="K128" s="19">
        <v>415569.66666666669</v>
      </c>
      <c r="L128" s="20">
        <v>0.49945666666666666</v>
      </c>
      <c r="M128" s="21">
        <v>4.1474900000000003</v>
      </c>
      <c r="N128" s="21">
        <v>4.1556966666666666</v>
      </c>
      <c r="O128" s="21" t="s">
        <v>50</v>
      </c>
      <c r="P128" s="22" t="s">
        <v>50</v>
      </c>
    </row>
    <row r="129" spans="1:16" x14ac:dyDescent="0.5">
      <c r="A129" t="s">
        <v>246</v>
      </c>
      <c r="B129" t="str">
        <f t="shared" ref="B129:B138" si="149">_xlfn.CONCAT("RNG",C129,"xERR",D129,"xARM",E129)</f>
        <v>RNG20xERR20xARM20</v>
      </c>
      <c r="C129">
        <v>20</v>
      </c>
      <c r="D129">
        <v>20</v>
      </c>
      <c r="E129">
        <v>20</v>
      </c>
      <c r="G129">
        <v>100000</v>
      </c>
      <c r="H129">
        <v>48604</v>
      </c>
      <c r="I129" s="3">
        <f>G129-H129</f>
        <v>51396</v>
      </c>
      <c r="J129">
        <v>413770</v>
      </c>
      <c r="K129">
        <v>427237</v>
      </c>
      <c r="L129" s="9">
        <f>H129/G129</f>
        <v>0.48604000000000003</v>
      </c>
      <c r="M129" s="5">
        <f t="shared" ref="M129" si="150">J129/G129</f>
        <v>4.1376999999999997</v>
      </c>
      <c r="N129" s="5">
        <f t="shared" ref="N129" si="151">K129/G129</f>
        <v>4.2723699999999996</v>
      </c>
      <c r="O129" s="5">
        <f>(L129-$L$86)*162</f>
        <v>-2.1734999999999944</v>
      </c>
      <c r="P129" s="4">
        <f>-(N129-$N$86)*162</f>
        <v>-18.90107999999994</v>
      </c>
    </row>
    <row r="130" spans="1:16" x14ac:dyDescent="0.5">
      <c r="A130" t="s">
        <v>246</v>
      </c>
      <c r="B130" t="str">
        <f t="shared" si="149"/>
        <v>RNG80xERR80xARM80</v>
      </c>
      <c r="C130">
        <v>80</v>
      </c>
      <c r="D130">
        <v>80</v>
      </c>
      <c r="E130">
        <v>80</v>
      </c>
      <c r="G130">
        <v>100000</v>
      </c>
      <c r="H130">
        <v>51843</v>
      </c>
      <c r="I130" s="3">
        <f>G130-H130</f>
        <v>48157</v>
      </c>
      <c r="J130">
        <v>416817</v>
      </c>
      <c r="K130">
        <v>399004</v>
      </c>
      <c r="L130" s="9">
        <f>H130/G130</f>
        <v>0.51842999999999995</v>
      </c>
      <c r="M130" s="5">
        <f t="shared" ref="M130" si="152">J130/G130</f>
        <v>4.1681699999999999</v>
      </c>
      <c r="N130" s="5">
        <f t="shared" ref="N130" si="153">K130/G130</f>
        <v>3.99004</v>
      </c>
      <c r="O130" s="5">
        <f>(L130-$L$86)*162</f>
        <v>3.0736799999999924</v>
      </c>
      <c r="P130" s="4">
        <f>-(N130-$N$86)*162</f>
        <v>26.836379999999984</v>
      </c>
    </row>
    <row r="131" spans="1:16" x14ac:dyDescent="0.5">
      <c r="A131" t="s">
        <v>246</v>
      </c>
      <c r="B131" t="str">
        <f t="shared" si="149"/>
        <v>RNG20xERR50xARM50</v>
      </c>
      <c r="C131">
        <v>20</v>
      </c>
      <c r="D131">
        <v>50</v>
      </c>
      <c r="E131">
        <v>50</v>
      </c>
      <c r="G131">
        <v>100000</v>
      </c>
      <c r="H131">
        <v>49302</v>
      </c>
      <c r="I131" s="3">
        <f t="shared" ref="I131:I148" si="154">G131-H131</f>
        <v>50698</v>
      </c>
      <c r="J131">
        <v>415666</v>
      </c>
      <c r="K131">
        <v>420803</v>
      </c>
      <c r="L131" s="9">
        <f t="shared" ref="L131:L138" si="155">H131/G131</f>
        <v>0.49302000000000001</v>
      </c>
      <c r="M131" s="5">
        <f t="shared" ref="M131:M138" si="156">J131/G131</f>
        <v>4.1566599999999996</v>
      </c>
      <c r="N131" s="5">
        <f t="shared" ref="N131:N138" si="157">K131/G131</f>
        <v>4.2080299999999999</v>
      </c>
      <c r="O131" s="5">
        <f t="shared" ref="O131:O138" si="158">(L131-$L$86)*162</f>
        <v>-1.0427399999999967</v>
      </c>
      <c r="P131" s="4">
        <f t="shared" ref="P131:P138" si="159">-(N131-$N$86)*162</f>
        <v>-8.4780000000000015</v>
      </c>
    </row>
    <row r="132" spans="1:16" x14ac:dyDescent="0.5">
      <c r="A132" t="s">
        <v>246</v>
      </c>
      <c r="B132" t="str">
        <f t="shared" si="149"/>
        <v>RNG40xERR50xARM50</v>
      </c>
      <c r="C132">
        <v>40</v>
      </c>
      <c r="D132">
        <v>50</v>
      </c>
      <c r="E132">
        <v>50</v>
      </c>
      <c r="G132">
        <v>100000</v>
      </c>
      <c r="H132">
        <v>49432</v>
      </c>
      <c r="I132" s="3">
        <f t="shared" si="154"/>
        <v>50568</v>
      </c>
      <c r="J132">
        <v>415847</v>
      </c>
      <c r="K132">
        <v>419068</v>
      </c>
      <c r="L132" s="9">
        <f t="shared" si="155"/>
        <v>0.49431999999999998</v>
      </c>
      <c r="M132" s="5">
        <f t="shared" si="156"/>
        <v>4.1584700000000003</v>
      </c>
      <c r="N132" s="5">
        <f t="shared" si="157"/>
        <v>4.1906800000000004</v>
      </c>
      <c r="O132" s="5">
        <f t="shared" si="158"/>
        <v>-0.83214000000000188</v>
      </c>
      <c r="P132" s="4">
        <f t="shared" si="159"/>
        <v>-5.6673000000000773</v>
      </c>
    </row>
    <row r="133" spans="1:16" x14ac:dyDescent="0.5">
      <c r="A133" t="s">
        <v>246</v>
      </c>
      <c r="B133" t="str">
        <f t="shared" si="149"/>
        <v>RNG45xERR50xARM50</v>
      </c>
      <c r="C133">
        <v>45</v>
      </c>
      <c r="D133">
        <v>50</v>
      </c>
      <c r="E133">
        <v>50</v>
      </c>
      <c r="G133">
        <v>100000</v>
      </c>
      <c r="H133">
        <v>49574</v>
      </c>
      <c r="I133" s="3">
        <f t="shared" si="154"/>
        <v>50426</v>
      </c>
      <c r="J133">
        <v>415107</v>
      </c>
      <c r="K133">
        <v>420131</v>
      </c>
      <c r="L133" s="9">
        <f t="shared" si="155"/>
        <v>0.49574000000000001</v>
      </c>
      <c r="M133" s="5">
        <f t="shared" si="156"/>
        <v>4.1510699999999998</v>
      </c>
      <c r="N133" s="5">
        <f t="shared" si="157"/>
        <v>4.2013100000000003</v>
      </c>
      <c r="O133" s="5">
        <f t="shared" si="158"/>
        <v>-0.60209999999999664</v>
      </c>
      <c r="P133" s="4">
        <f t="shared" si="159"/>
        <v>-7.3893600000000639</v>
      </c>
    </row>
    <row r="134" spans="1:16" x14ac:dyDescent="0.5">
      <c r="A134" t="s">
        <v>246</v>
      </c>
      <c r="B134" t="str">
        <f t="shared" si="149"/>
        <v>RNG55xERR50xARM50</v>
      </c>
      <c r="C134">
        <v>55</v>
      </c>
      <c r="D134">
        <v>50</v>
      </c>
      <c r="E134">
        <v>50</v>
      </c>
      <c r="G134">
        <v>100000</v>
      </c>
      <c r="H134">
        <v>51377</v>
      </c>
      <c r="I134" s="3">
        <f t="shared" si="154"/>
        <v>48623</v>
      </c>
      <c r="J134">
        <v>415219</v>
      </c>
      <c r="K134">
        <v>403371</v>
      </c>
      <c r="L134" s="9">
        <f t="shared" si="155"/>
        <v>0.51376999999999995</v>
      </c>
      <c r="M134" s="5">
        <f t="shared" si="156"/>
        <v>4.15219</v>
      </c>
      <c r="N134" s="5">
        <f t="shared" si="157"/>
        <v>4.0337100000000001</v>
      </c>
      <c r="O134" s="5">
        <f t="shared" si="158"/>
        <v>2.318759999999993</v>
      </c>
      <c r="P134" s="4">
        <f t="shared" si="159"/>
        <v>19.761839999999967</v>
      </c>
    </row>
    <row r="135" spans="1:16" x14ac:dyDescent="0.5">
      <c r="A135" t="s">
        <v>246</v>
      </c>
      <c r="B135" t="str">
        <f t="shared" si="149"/>
        <v>RNG60xERR50xARM50</v>
      </c>
      <c r="C135">
        <v>60</v>
      </c>
      <c r="D135">
        <v>50</v>
      </c>
      <c r="E135">
        <v>50</v>
      </c>
      <c r="G135">
        <v>100000</v>
      </c>
      <c r="H135">
        <v>51059</v>
      </c>
      <c r="I135" s="3">
        <f t="shared" si="154"/>
        <v>48941</v>
      </c>
      <c r="J135">
        <v>414232</v>
      </c>
      <c r="K135">
        <v>404280</v>
      </c>
      <c r="L135" s="9">
        <f t="shared" si="155"/>
        <v>0.51058999999999999</v>
      </c>
      <c r="M135" s="5">
        <f t="shared" si="156"/>
        <v>4.1423199999999998</v>
      </c>
      <c r="N135" s="5">
        <f t="shared" si="157"/>
        <v>4.0427999999999997</v>
      </c>
      <c r="O135" s="5">
        <f t="shared" si="158"/>
        <v>1.8035999999999992</v>
      </c>
      <c r="P135" s="4">
        <f t="shared" si="159"/>
        <v>18.289260000000034</v>
      </c>
    </row>
    <row r="136" spans="1:16" x14ac:dyDescent="0.5">
      <c r="A136" t="s">
        <v>246</v>
      </c>
      <c r="B136" t="str">
        <f t="shared" si="149"/>
        <v>RNG65xERR50xARM50</v>
      </c>
      <c r="C136">
        <v>65</v>
      </c>
      <c r="D136">
        <v>50</v>
      </c>
      <c r="E136">
        <v>50</v>
      </c>
      <c r="G136">
        <v>100000</v>
      </c>
      <c r="H136">
        <v>51604</v>
      </c>
      <c r="I136" s="3">
        <f t="shared" si="154"/>
        <v>48396</v>
      </c>
      <c r="J136">
        <v>415849</v>
      </c>
      <c r="K136">
        <v>402224</v>
      </c>
      <c r="L136" s="9">
        <f t="shared" si="155"/>
        <v>0.51604000000000005</v>
      </c>
      <c r="M136" s="5">
        <f t="shared" si="156"/>
        <v>4.1584899999999996</v>
      </c>
      <c r="N136" s="5">
        <f t="shared" si="157"/>
        <v>4.02224</v>
      </c>
      <c r="O136" s="5">
        <f t="shared" si="158"/>
        <v>2.6865000000000099</v>
      </c>
      <c r="P136" s="4">
        <f t="shared" si="159"/>
        <v>21.619979999999984</v>
      </c>
    </row>
    <row r="137" spans="1:16" x14ac:dyDescent="0.5">
      <c r="A137" t="s">
        <v>246</v>
      </c>
      <c r="B137" t="str">
        <f t="shared" si="149"/>
        <v>RNG70xERR50xARM50</v>
      </c>
      <c r="C137">
        <v>70</v>
      </c>
      <c r="D137">
        <v>50</v>
      </c>
      <c r="E137">
        <v>50</v>
      </c>
      <c r="G137">
        <v>100000</v>
      </c>
      <c r="H137">
        <v>50964</v>
      </c>
      <c r="I137" s="3">
        <f t="shared" si="154"/>
        <v>49036</v>
      </c>
      <c r="J137">
        <v>415064</v>
      </c>
      <c r="K137">
        <v>405026</v>
      </c>
      <c r="L137" s="9">
        <f t="shared" si="155"/>
        <v>0.50963999999999998</v>
      </c>
      <c r="M137" s="5">
        <f t="shared" si="156"/>
        <v>4.1506400000000001</v>
      </c>
      <c r="N137" s="5">
        <f t="shared" si="157"/>
        <v>4.0502599999999997</v>
      </c>
      <c r="O137" s="5">
        <f t="shared" si="158"/>
        <v>1.6496999999999982</v>
      </c>
      <c r="P137" s="4">
        <f t="shared" si="159"/>
        <v>17.080740000000027</v>
      </c>
    </row>
    <row r="138" spans="1:16" x14ac:dyDescent="0.5">
      <c r="A138" t="s">
        <v>246</v>
      </c>
      <c r="B138" t="str">
        <f t="shared" si="149"/>
        <v>RNG80xERR50xARM50</v>
      </c>
      <c r="C138">
        <v>80</v>
      </c>
      <c r="D138">
        <v>50</v>
      </c>
      <c r="E138">
        <v>50</v>
      </c>
      <c r="G138">
        <v>100000</v>
      </c>
      <c r="H138">
        <v>51097</v>
      </c>
      <c r="I138" s="3">
        <f t="shared" si="154"/>
        <v>48903</v>
      </c>
      <c r="J138">
        <v>414820</v>
      </c>
      <c r="K138">
        <v>405090</v>
      </c>
      <c r="L138" s="9">
        <f t="shared" si="155"/>
        <v>0.51097000000000004</v>
      </c>
      <c r="M138" s="5">
        <f t="shared" si="156"/>
        <v>4.1482000000000001</v>
      </c>
      <c r="N138" s="5">
        <f t="shared" si="157"/>
        <v>4.0509000000000004</v>
      </c>
      <c r="O138" s="5">
        <f t="shared" si="158"/>
        <v>1.8651600000000068</v>
      </c>
      <c r="P138" s="4">
        <f t="shared" si="159"/>
        <v>16.977059999999923</v>
      </c>
    </row>
    <row r="139" spans="1:16" x14ac:dyDescent="0.5">
      <c r="A139" t="s">
        <v>246</v>
      </c>
      <c r="B139" t="str">
        <f t="shared" ref="B139:B148" si="160">_xlfn.CONCAT("RNG",C139,"xERR",D139,"xARM",E139)</f>
        <v>RNG50xERR50xARM20</v>
      </c>
      <c r="C139">
        <v>50</v>
      </c>
      <c r="D139">
        <v>50</v>
      </c>
      <c r="E139">
        <v>20</v>
      </c>
      <c r="G139">
        <v>100000</v>
      </c>
      <c r="H139">
        <v>49619</v>
      </c>
      <c r="I139" s="3">
        <f t="shared" si="154"/>
        <v>50381</v>
      </c>
      <c r="J139">
        <v>414624</v>
      </c>
      <c r="K139">
        <v>419328</v>
      </c>
      <c r="L139" s="9">
        <f t="shared" ref="L139:L146" si="161">H139/G139</f>
        <v>0.49619000000000002</v>
      </c>
      <c r="M139" s="5">
        <f t="shared" ref="M139:M146" si="162">J139/G139</f>
        <v>4.1462399999999997</v>
      </c>
      <c r="N139" s="5">
        <f t="shared" ref="N139:N146" si="163">K139/G139</f>
        <v>4.1932799999999997</v>
      </c>
      <c r="O139" s="5">
        <f t="shared" ref="O139:O146" si="164">(L139-$L$86)*162</f>
        <v>-0.52919999999999567</v>
      </c>
      <c r="P139" s="4">
        <f t="shared" ref="P139:P146" si="165">-(N139-$N$86)*162</f>
        <v>-6.0884999999999589</v>
      </c>
    </row>
    <row r="140" spans="1:16" x14ac:dyDescent="0.5">
      <c r="A140" t="s">
        <v>246</v>
      </c>
      <c r="B140" t="str">
        <f t="shared" si="160"/>
        <v>RNG50xERR50xARM40</v>
      </c>
      <c r="C140">
        <v>50</v>
      </c>
      <c r="D140">
        <v>50</v>
      </c>
      <c r="E140">
        <v>40</v>
      </c>
      <c r="G140">
        <v>100000</v>
      </c>
      <c r="H140">
        <v>49663</v>
      </c>
      <c r="I140" s="3">
        <f t="shared" si="154"/>
        <v>50337</v>
      </c>
      <c r="J140">
        <v>415240</v>
      </c>
      <c r="K140">
        <v>417827</v>
      </c>
      <c r="L140" s="9">
        <f t="shared" si="161"/>
        <v>0.49663000000000002</v>
      </c>
      <c r="M140" s="5">
        <f t="shared" si="162"/>
        <v>4.1524000000000001</v>
      </c>
      <c r="N140" s="5">
        <f t="shared" si="163"/>
        <v>4.1782700000000004</v>
      </c>
      <c r="O140" s="5">
        <f t="shared" si="164"/>
        <v>-0.45791999999999633</v>
      </c>
      <c r="P140" s="4">
        <f t="shared" si="165"/>
        <v>-3.6568800000000721</v>
      </c>
    </row>
    <row r="141" spans="1:16" x14ac:dyDescent="0.5">
      <c r="A141" t="s">
        <v>246</v>
      </c>
      <c r="B141" t="str">
        <f t="shared" si="160"/>
        <v>RNG50xERR50xARM45</v>
      </c>
      <c r="C141">
        <v>50</v>
      </c>
      <c r="D141">
        <v>50</v>
      </c>
      <c r="E141">
        <v>45</v>
      </c>
      <c r="G141">
        <v>100000</v>
      </c>
      <c r="H141">
        <v>49984</v>
      </c>
      <c r="I141" s="3">
        <f t="shared" si="154"/>
        <v>50016</v>
      </c>
      <c r="J141">
        <v>414401</v>
      </c>
      <c r="K141">
        <v>415737</v>
      </c>
      <c r="L141" s="9">
        <f t="shared" si="161"/>
        <v>0.49984000000000001</v>
      </c>
      <c r="M141" s="5">
        <f t="shared" si="162"/>
        <v>4.1440099999999997</v>
      </c>
      <c r="N141" s="5">
        <f t="shared" si="163"/>
        <v>4.1573700000000002</v>
      </c>
      <c r="O141" s="5">
        <f t="shared" si="164"/>
        <v>6.2100000000002153E-2</v>
      </c>
      <c r="P141" s="4">
        <f t="shared" si="165"/>
        <v>-0.27108000000004928</v>
      </c>
    </row>
    <row r="142" spans="1:16" x14ac:dyDescent="0.5">
      <c r="A142" t="s">
        <v>246</v>
      </c>
      <c r="B142" t="str">
        <f t="shared" si="160"/>
        <v>RNG50xERR50xARM55</v>
      </c>
      <c r="C142">
        <v>50</v>
      </c>
      <c r="D142">
        <v>50</v>
      </c>
      <c r="E142">
        <v>55</v>
      </c>
      <c r="G142">
        <v>100000</v>
      </c>
      <c r="H142">
        <v>50252</v>
      </c>
      <c r="I142" s="3">
        <f t="shared" si="154"/>
        <v>49748</v>
      </c>
      <c r="J142">
        <v>415052</v>
      </c>
      <c r="K142">
        <v>413285</v>
      </c>
      <c r="L142" s="9">
        <f t="shared" si="161"/>
        <v>0.50251999999999997</v>
      </c>
      <c r="M142" s="5">
        <f t="shared" si="162"/>
        <v>4.1505200000000002</v>
      </c>
      <c r="N142" s="5">
        <f t="shared" si="163"/>
        <v>4.1328500000000004</v>
      </c>
      <c r="O142" s="5">
        <f t="shared" si="164"/>
        <v>0.4962599999999957</v>
      </c>
      <c r="P142" s="4">
        <f t="shared" si="165"/>
        <v>3.7011599999999305</v>
      </c>
    </row>
    <row r="143" spans="1:16" x14ac:dyDescent="0.5">
      <c r="A143" t="s">
        <v>246</v>
      </c>
      <c r="B143" t="str">
        <f t="shared" si="160"/>
        <v>RNG50xERR50xARM60</v>
      </c>
      <c r="C143">
        <v>50</v>
      </c>
      <c r="D143">
        <v>50</v>
      </c>
      <c r="E143">
        <v>60</v>
      </c>
      <c r="G143">
        <v>100000</v>
      </c>
      <c r="H143">
        <v>50362</v>
      </c>
      <c r="I143" s="3">
        <f t="shared" si="154"/>
        <v>49638</v>
      </c>
      <c r="J143">
        <v>415187</v>
      </c>
      <c r="K143">
        <v>412641</v>
      </c>
      <c r="L143" s="9">
        <f t="shared" si="161"/>
        <v>0.50361999999999996</v>
      </c>
      <c r="M143" s="5">
        <f t="shared" si="162"/>
        <v>4.1518699999999997</v>
      </c>
      <c r="N143" s="5">
        <f t="shared" si="163"/>
        <v>4.1264099999999999</v>
      </c>
      <c r="O143" s="5">
        <f t="shared" si="164"/>
        <v>0.67445999999999406</v>
      </c>
      <c r="P143" s="4">
        <f t="shared" si="165"/>
        <v>4.7444400000000027</v>
      </c>
    </row>
    <row r="144" spans="1:16" x14ac:dyDescent="0.5">
      <c r="A144" t="s">
        <v>246</v>
      </c>
      <c r="B144" t="str">
        <f t="shared" si="160"/>
        <v>RNG50xERR50xARM65</v>
      </c>
      <c r="C144">
        <v>50</v>
      </c>
      <c r="D144">
        <v>50</v>
      </c>
      <c r="E144">
        <v>65</v>
      </c>
      <c r="G144">
        <v>100000</v>
      </c>
      <c r="H144">
        <v>50140</v>
      </c>
      <c r="I144" s="3">
        <f t="shared" si="154"/>
        <v>49860</v>
      </c>
      <c r="J144">
        <v>415080</v>
      </c>
      <c r="K144">
        <v>414246</v>
      </c>
      <c r="L144" s="9">
        <f t="shared" si="161"/>
        <v>0.50139999999999996</v>
      </c>
      <c r="M144" s="5">
        <f t="shared" si="162"/>
        <v>4.1508000000000003</v>
      </c>
      <c r="N144" s="5">
        <f t="shared" si="163"/>
        <v>4.1424599999999998</v>
      </c>
      <c r="O144" s="5">
        <f t="shared" si="164"/>
        <v>0.3148199999999941</v>
      </c>
      <c r="P144" s="4">
        <f t="shared" si="165"/>
        <v>2.1443400000000192</v>
      </c>
    </row>
    <row r="145" spans="1:16" x14ac:dyDescent="0.5">
      <c r="A145" t="s">
        <v>246</v>
      </c>
      <c r="B145" t="str">
        <f t="shared" si="160"/>
        <v>RNG50xERR50xARM70</v>
      </c>
      <c r="C145">
        <v>50</v>
      </c>
      <c r="D145">
        <v>50</v>
      </c>
      <c r="E145">
        <v>70</v>
      </c>
      <c r="G145">
        <v>100000</v>
      </c>
      <c r="H145">
        <v>50351</v>
      </c>
      <c r="I145" s="3">
        <f t="shared" si="154"/>
        <v>49649</v>
      </c>
      <c r="J145">
        <v>414708</v>
      </c>
      <c r="K145">
        <v>410973</v>
      </c>
      <c r="L145" s="9">
        <f t="shared" si="161"/>
        <v>0.50351000000000001</v>
      </c>
      <c r="M145" s="5">
        <f t="shared" si="162"/>
        <v>4.1470799999999999</v>
      </c>
      <c r="N145" s="5">
        <f t="shared" si="163"/>
        <v>4.1097299999999999</v>
      </c>
      <c r="O145" s="5">
        <f t="shared" si="164"/>
        <v>0.65664000000000322</v>
      </c>
      <c r="P145" s="4">
        <f t="shared" si="165"/>
        <v>7.4466000000000072</v>
      </c>
    </row>
    <row r="146" spans="1:16" x14ac:dyDescent="0.5">
      <c r="A146" t="s">
        <v>246</v>
      </c>
      <c r="B146" t="str">
        <f t="shared" si="160"/>
        <v>RNG50xERR50xARM80</v>
      </c>
      <c r="C146">
        <v>50</v>
      </c>
      <c r="D146">
        <v>50</v>
      </c>
      <c r="E146">
        <v>80</v>
      </c>
      <c r="G146">
        <v>100000</v>
      </c>
      <c r="H146">
        <v>50558</v>
      </c>
      <c r="I146" s="3">
        <f t="shared" si="154"/>
        <v>49442</v>
      </c>
      <c r="J146">
        <v>414236</v>
      </c>
      <c r="K146">
        <v>409448</v>
      </c>
      <c r="L146" s="9">
        <f t="shared" si="161"/>
        <v>0.50558000000000003</v>
      </c>
      <c r="M146" s="5">
        <f t="shared" si="162"/>
        <v>4.14236</v>
      </c>
      <c r="N146" s="5">
        <f t="shared" si="163"/>
        <v>4.0944799999999999</v>
      </c>
      <c r="O146" s="5">
        <f t="shared" si="164"/>
        <v>0.99198000000000586</v>
      </c>
      <c r="P146" s="4">
        <f t="shared" si="165"/>
        <v>9.9171000000000049</v>
      </c>
    </row>
    <row r="147" spans="1:16" x14ac:dyDescent="0.5">
      <c r="A147" t="s">
        <v>246</v>
      </c>
      <c r="B147" t="str">
        <f t="shared" si="160"/>
        <v>RNG50xERR20xARM50</v>
      </c>
      <c r="C147">
        <v>50</v>
      </c>
      <c r="D147">
        <v>20</v>
      </c>
      <c r="E147">
        <v>50</v>
      </c>
      <c r="G147">
        <v>100000</v>
      </c>
      <c r="H147">
        <v>49721</v>
      </c>
      <c r="I147" s="3">
        <f t="shared" si="154"/>
        <v>50279</v>
      </c>
      <c r="J147">
        <v>413418</v>
      </c>
      <c r="K147">
        <v>415444</v>
      </c>
      <c r="L147" s="9">
        <f t="shared" ref="L147:L148" si="166">H147/G147</f>
        <v>0.49720999999999999</v>
      </c>
      <c r="M147" s="5">
        <f t="shared" ref="M147:M148" si="167">J147/G147</f>
        <v>4.1341799999999997</v>
      </c>
      <c r="N147" s="5">
        <f t="shared" ref="N147:N148" si="168">K147/G147</f>
        <v>4.1544400000000001</v>
      </c>
      <c r="O147" s="5">
        <f t="shared" ref="O147:O148" si="169">(L147-$L$86)*162</f>
        <v>-0.36396000000000128</v>
      </c>
      <c r="P147" s="4">
        <f t="shared" ref="P147:P148" si="170">-(N147-$N$86)*162</f>
        <v>0.20357999999996679</v>
      </c>
    </row>
    <row r="148" spans="1:16" x14ac:dyDescent="0.5">
      <c r="A148" t="s">
        <v>246</v>
      </c>
      <c r="B148" t="str">
        <f t="shared" si="160"/>
        <v>RNG50xERR80xARM50</v>
      </c>
      <c r="C148">
        <v>50</v>
      </c>
      <c r="D148">
        <v>80</v>
      </c>
      <c r="E148">
        <v>50</v>
      </c>
      <c r="G148">
        <v>100000</v>
      </c>
      <c r="H148">
        <v>50049</v>
      </c>
      <c r="I148" s="3">
        <f t="shared" si="154"/>
        <v>49951</v>
      </c>
      <c r="J148">
        <v>415483</v>
      </c>
      <c r="K148">
        <v>414065</v>
      </c>
      <c r="L148" s="9">
        <f t="shared" si="166"/>
        <v>0.50048999999999999</v>
      </c>
      <c r="M148" s="5">
        <f t="shared" si="167"/>
        <v>4.1548299999999996</v>
      </c>
      <c r="N148" s="5">
        <f t="shared" si="168"/>
        <v>4.1406499999999999</v>
      </c>
      <c r="O148" s="5">
        <f t="shared" si="169"/>
        <v>0.16739999999999955</v>
      </c>
      <c r="P148" s="4">
        <f t="shared" si="170"/>
        <v>2.4375599999999977</v>
      </c>
    </row>
    <row r="149" spans="1:16" x14ac:dyDescent="0.5">
      <c r="A149" s="23" t="s">
        <v>247</v>
      </c>
      <c r="B149" s="18" t="s">
        <v>165</v>
      </c>
      <c r="C149" s="18">
        <v>50</v>
      </c>
      <c r="D149" s="18">
        <v>50</v>
      </c>
      <c r="E149" s="18">
        <v>50</v>
      </c>
      <c r="F149" s="18"/>
      <c r="G149" s="18">
        <v>100000</v>
      </c>
      <c r="H149" s="19">
        <v>49945.666666666664</v>
      </c>
      <c r="I149" s="19">
        <v>50054.333333333336</v>
      </c>
      <c r="J149" s="19">
        <v>414749</v>
      </c>
      <c r="K149" s="19">
        <v>415569.66666666669</v>
      </c>
      <c r="L149" s="20">
        <v>0.49945666666666666</v>
      </c>
      <c r="M149" s="21">
        <v>4.1474900000000003</v>
      </c>
      <c r="N149" s="21">
        <v>4.1556966666666666</v>
      </c>
      <c r="O149" s="21" t="s">
        <v>50</v>
      </c>
      <c r="P149" s="22" t="s">
        <v>50</v>
      </c>
    </row>
    <row r="150" spans="1:16" x14ac:dyDescent="0.5">
      <c r="A150" t="s">
        <v>247</v>
      </c>
      <c r="B150" t="str">
        <f>_xlfn.CONCAT("RNG",C150,"xERR",D150,"xARM",E150)</f>
        <v>RNG20xERR20xARM20</v>
      </c>
      <c r="C150">
        <v>20</v>
      </c>
      <c r="D150">
        <v>20</v>
      </c>
      <c r="E150">
        <v>20</v>
      </c>
      <c r="G150">
        <v>100000</v>
      </c>
      <c r="H150">
        <v>48995</v>
      </c>
      <c r="I150" s="3">
        <f>G150-H150</f>
        <v>51005</v>
      </c>
      <c r="J150">
        <v>415635</v>
      </c>
      <c r="K150">
        <v>425041</v>
      </c>
      <c r="L150" s="9">
        <f>H150/G150</f>
        <v>0.48995</v>
      </c>
      <c r="M150" s="5">
        <f t="shared" ref="M150" si="171">J150/G150</f>
        <v>4.1563499999999998</v>
      </c>
      <c r="N150" s="5">
        <f t="shared" ref="N150" si="172">K150/G150</f>
        <v>4.2504099999999996</v>
      </c>
      <c r="O150" s="5">
        <f>(L150-$L$86)*162</f>
        <v>-1.5400799999999994</v>
      </c>
      <c r="P150" s="4">
        <f>-(N150-$N$86)*162</f>
        <v>-15.343559999999943</v>
      </c>
    </row>
    <row r="151" spans="1:16" x14ac:dyDescent="0.5">
      <c r="A151" t="s">
        <v>247</v>
      </c>
      <c r="B151" t="str">
        <f>_xlfn.CONCAT("RNG",C151,"xERR",D151,"xARM",E151)</f>
        <v>RNG80xERR80xARM80</v>
      </c>
      <c r="C151">
        <v>80</v>
      </c>
      <c r="D151">
        <v>80</v>
      </c>
      <c r="E151">
        <v>80</v>
      </c>
      <c r="G151">
        <v>100000</v>
      </c>
      <c r="H151">
        <v>51401</v>
      </c>
      <c r="I151" s="3">
        <f>G151-H151</f>
        <v>48599</v>
      </c>
      <c r="J151">
        <v>415760</v>
      </c>
      <c r="K151">
        <v>403332</v>
      </c>
      <c r="L151" s="9">
        <f>H151/G151</f>
        <v>0.51400999999999997</v>
      </c>
      <c r="M151" s="5">
        <f t="shared" ref="M151" si="173">J151/G151</f>
        <v>4.1576000000000004</v>
      </c>
      <c r="N151" s="5">
        <f t="shared" ref="N151" si="174">K151/G151</f>
        <v>4.0333199999999998</v>
      </c>
      <c r="O151" s="5">
        <f>(L151-$L$86)*162</f>
        <v>2.3576399999999955</v>
      </c>
      <c r="P151" s="4">
        <f>-(N151-$N$86)*162</f>
        <v>19.825020000000023</v>
      </c>
    </row>
    <row r="152" spans="1:16" x14ac:dyDescent="0.5">
      <c r="A152" t="s">
        <v>247</v>
      </c>
      <c r="B152" t="str">
        <f t="shared" ref="B152:B162" si="175">_xlfn.CONCAT("RNG",C152,"xERR",D152,"xARM",E152)</f>
        <v>RNG20xERR50xARM50</v>
      </c>
      <c r="C152">
        <v>20</v>
      </c>
      <c r="D152">
        <v>50</v>
      </c>
      <c r="E152">
        <v>50</v>
      </c>
      <c r="G152">
        <v>100000</v>
      </c>
      <c r="H152">
        <v>49118</v>
      </c>
      <c r="I152" s="3">
        <f t="shared" ref="I152:I162" si="176">G152-H152</f>
        <v>50882</v>
      </c>
      <c r="J152">
        <v>415971</v>
      </c>
      <c r="K152">
        <v>424014</v>
      </c>
      <c r="L152" s="9">
        <f t="shared" ref="L152:L162" si="177">H152/G152</f>
        <v>0.49118000000000001</v>
      </c>
      <c r="M152" s="5">
        <f t="shared" ref="M152:M162" si="178">J152/G152</f>
        <v>4.1597099999999996</v>
      </c>
      <c r="N152" s="5">
        <f t="shared" ref="N152:N162" si="179">K152/G152</f>
        <v>4.2401400000000002</v>
      </c>
      <c r="O152" s="5">
        <f t="shared" ref="O152:O159" si="180">(L152-$L$86)*162</f>
        <v>-1.3408199999999981</v>
      </c>
      <c r="P152" s="4">
        <f t="shared" ref="P152:P159" si="181">-(N152-$N$86)*162</f>
        <v>-13.679820000000051</v>
      </c>
    </row>
    <row r="153" spans="1:16" x14ac:dyDescent="0.5">
      <c r="A153" t="s">
        <v>247</v>
      </c>
      <c r="B153" t="str">
        <f t="shared" si="175"/>
        <v>RNG40xERR50xARM50</v>
      </c>
      <c r="C153">
        <v>40</v>
      </c>
      <c r="D153">
        <v>50</v>
      </c>
      <c r="E153">
        <v>50</v>
      </c>
      <c r="G153">
        <v>100000</v>
      </c>
      <c r="H153">
        <v>49379</v>
      </c>
      <c r="I153" s="3">
        <f t="shared" si="176"/>
        <v>50621</v>
      </c>
      <c r="J153">
        <v>415708</v>
      </c>
      <c r="K153">
        <v>421856</v>
      </c>
      <c r="L153" s="9">
        <f t="shared" si="177"/>
        <v>0.49379000000000001</v>
      </c>
      <c r="M153" s="5">
        <f t="shared" si="178"/>
        <v>4.1570799999999997</v>
      </c>
      <c r="N153" s="5">
        <f t="shared" si="179"/>
        <v>4.2185600000000001</v>
      </c>
      <c r="O153" s="5">
        <f t="shared" si="180"/>
        <v>-0.91799999999999782</v>
      </c>
      <c r="P153" s="4">
        <f t="shared" si="181"/>
        <v>-10.183860000000026</v>
      </c>
    </row>
    <row r="154" spans="1:16" x14ac:dyDescent="0.5">
      <c r="A154" t="s">
        <v>247</v>
      </c>
      <c r="B154" t="str">
        <f t="shared" si="175"/>
        <v>RNG45xERR50xARM50</v>
      </c>
      <c r="C154">
        <v>45</v>
      </c>
      <c r="D154">
        <v>50</v>
      </c>
      <c r="E154">
        <v>50</v>
      </c>
      <c r="G154">
        <v>100000</v>
      </c>
      <c r="H154">
        <v>49509</v>
      </c>
      <c r="I154" s="3">
        <f t="shared" si="176"/>
        <v>50491</v>
      </c>
      <c r="J154">
        <v>415432</v>
      </c>
      <c r="K154">
        <v>418746</v>
      </c>
      <c r="L154" s="9">
        <f t="shared" si="177"/>
        <v>0.49508999999999997</v>
      </c>
      <c r="M154" s="5">
        <f t="shared" si="178"/>
        <v>4.1543200000000002</v>
      </c>
      <c r="N154" s="5">
        <f t="shared" si="179"/>
        <v>4.1874599999999997</v>
      </c>
      <c r="O154" s="5">
        <f t="shared" si="180"/>
        <v>-0.70740000000000303</v>
      </c>
      <c r="P154" s="4">
        <f t="shared" si="181"/>
        <v>-5.1456599999999693</v>
      </c>
    </row>
    <row r="155" spans="1:16" x14ac:dyDescent="0.5">
      <c r="A155" t="s">
        <v>247</v>
      </c>
      <c r="B155" t="str">
        <f t="shared" si="175"/>
        <v>RNG55xERR50xARM50</v>
      </c>
      <c r="C155">
        <v>55</v>
      </c>
      <c r="D155">
        <v>50</v>
      </c>
      <c r="E155">
        <v>50</v>
      </c>
      <c r="G155">
        <v>100000</v>
      </c>
      <c r="H155">
        <v>51117</v>
      </c>
      <c r="I155" s="3">
        <f t="shared" si="176"/>
        <v>48883</v>
      </c>
      <c r="J155">
        <v>416763</v>
      </c>
      <c r="K155">
        <v>404393</v>
      </c>
      <c r="L155" s="9">
        <f t="shared" si="177"/>
        <v>0.51117000000000001</v>
      </c>
      <c r="M155" s="5">
        <f t="shared" si="178"/>
        <v>4.1676299999999999</v>
      </c>
      <c r="N155" s="5">
        <f t="shared" si="179"/>
        <v>4.0439299999999996</v>
      </c>
      <c r="O155" s="5">
        <f t="shared" si="180"/>
        <v>1.8975600000000032</v>
      </c>
      <c r="P155" s="4">
        <f t="shared" si="181"/>
        <v>18.106200000000058</v>
      </c>
    </row>
    <row r="156" spans="1:16" x14ac:dyDescent="0.5">
      <c r="A156" t="s">
        <v>247</v>
      </c>
      <c r="B156" t="str">
        <f t="shared" si="175"/>
        <v>RNG60xERR50xARM50</v>
      </c>
      <c r="C156">
        <v>60</v>
      </c>
      <c r="D156">
        <v>50</v>
      </c>
      <c r="E156">
        <v>50</v>
      </c>
      <c r="G156">
        <v>100000</v>
      </c>
      <c r="H156">
        <v>51073</v>
      </c>
      <c r="I156" s="3">
        <f t="shared" si="176"/>
        <v>48927</v>
      </c>
      <c r="J156">
        <v>416309</v>
      </c>
      <c r="K156">
        <v>405076</v>
      </c>
      <c r="L156" s="9">
        <f t="shared" si="177"/>
        <v>0.51073000000000002</v>
      </c>
      <c r="M156" s="5">
        <f t="shared" si="178"/>
        <v>4.1630900000000004</v>
      </c>
      <c r="N156" s="5">
        <f t="shared" si="179"/>
        <v>4.0507600000000004</v>
      </c>
      <c r="O156" s="5">
        <f t="shared" si="180"/>
        <v>1.8262800000000039</v>
      </c>
      <c r="P156" s="4">
        <f t="shared" si="181"/>
        <v>16.999739999999932</v>
      </c>
    </row>
    <row r="157" spans="1:16" x14ac:dyDescent="0.5">
      <c r="A157" t="s">
        <v>247</v>
      </c>
      <c r="B157" t="str">
        <f t="shared" si="175"/>
        <v>RNG65xERR50xARM50</v>
      </c>
      <c r="C157">
        <v>65</v>
      </c>
      <c r="D157">
        <v>50</v>
      </c>
      <c r="E157">
        <v>50</v>
      </c>
      <c r="G157">
        <v>100000</v>
      </c>
      <c r="H157">
        <v>50949</v>
      </c>
      <c r="I157" s="3">
        <f t="shared" si="176"/>
        <v>49051</v>
      </c>
      <c r="J157">
        <v>414787</v>
      </c>
      <c r="K157">
        <v>405568</v>
      </c>
      <c r="L157" s="9">
        <f t="shared" si="177"/>
        <v>0.50949</v>
      </c>
      <c r="M157" s="5">
        <f t="shared" si="178"/>
        <v>4.1478700000000002</v>
      </c>
      <c r="N157" s="5">
        <f t="shared" si="179"/>
        <v>4.0556799999999997</v>
      </c>
      <c r="O157" s="5">
        <f t="shared" si="180"/>
        <v>1.6254000000000008</v>
      </c>
      <c r="P157" s="4">
        <f t="shared" si="181"/>
        <v>16.202700000000032</v>
      </c>
    </row>
    <row r="158" spans="1:16" x14ac:dyDescent="0.5">
      <c r="A158" t="s">
        <v>247</v>
      </c>
      <c r="B158" t="str">
        <f t="shared" si="175"/>
        <v>RNG70xERR50xARM50</v>
      </c>
      <c r="C158">
        <v>70</v>
      </c>
      <c r="D158">
        <v>50</v>
      </c>
      <c r="E158">
        <v>50</v>
      </c>
      <c r="G158">
        <v>100000</v>
      </c>
      <c r="H158">
        <v>50907</v>
      </c>
      <c r="I158" s="3">
        <f t="shared" si="176"/>
        <v>49093</v>
      </c>
      <c r="J158">
        <v>415492</v>
      </c>
      <c r="K158">
        <v>406302</v>
      </c>
      <c r="L158" s="9">
        <f t="shared" si="177"/>
        <v>0.50907000000000002</v>
      </c>
      <c r="M158" s="5">
        <f t="shared" si="178"/>
        <v>4.1549199999999997</v>
      </c>
      <c r="N158" s="5">
        <f t="shared" si="179"/>
        <v>4.0630199999999999</v>
      </c>
      <c r="O158" s="5">
        <f t="shared" si="180"/>
        <v>1.5573600000000047</v>
      </c>
      <c r="P158" s="4">
        <f t="shared" si="181"/>
        <v>15.013620000000012</v>
      </c>
    </row>
    <row r="159" spans="1:16" x14ac:dyDescent="0.5">
      <c r="A159" t="s">
        <v>247</v>
      </c>
      <c r="B159" t="str">
        <f t="shared" si="175"/>
        <v>RNG80xERR50xARM50</v>
      </c>
      <c r="C159">
        <v>80</v>
      </c>
      <c r="D159">
        <v>50</v>
      </c>
      <c r="E159">
        <v>50</v>
      </c>
      <c r="G159">
        <v>100000</v>
      </c>
      <c r="H159">
        <v>50813</v>
      </c>
      <c r="I159" s="3">
        <f t="shared" si="176"/>
        <v>49187</v>
      </c>
      <c r="J159">
        <v>415310</v>
      </c>
      <c r="K159">
        <v>406822</v>
      </c>
      <c r="L159" s="9">
        <f t="shared" si="177"/>
        <v>0.50812999999999997</v>
      </c>
      <c r="M159" s="5">
        <f t="shared" si="178"/>
        <v>4.1531000000000002</v>
      </c>
      <c r="N159" s="5">
        <f t="shared" si="179"/>
        <v>4.0682200000000002</v>
      </c>
      <c r="O159" s="5">
        <f t="shared" si="180"/>
        <v>1.4050799999999963</v>
      </c>
      <c r="P159" s="4">
        <f t="shared" si="181"/>
        <v>14.171219999999961</v>
      </c>
    </row>
    <row r="160" spans="1:16" x14ac:dyDescent="0.5">
      <c r="A160" t="s">
        <v>247</v>
      </c>
      <c r="B160" t="str">
        <f t="shared" ref="B160:B161" si="182">_xlfn.CONCAT("RNG",C160,"xERR",D160,"xARM",E160)</f>
        <v>RNG50xERR20xARM50</v>
      </c>
      <c r="C160">
        <v>50</v>
      </c>
      <c r="D160">
        <v>20</v>
      </c>
      <c r="E160">
        <v>50</v>
      </c>
      <c r="G160">
        <v>100000</v>
      </c>
      <c r="H160">
        <v>50112</v>
      </c>
      <c r="I160" s="3">
        <f t="shared" ref="I160:I161" si="183">G160-H160</f>
        <v>49888</v>
      </c>
      <c r="J160">
        <v>415043</v>
      </c>
      <c r="K160">
        <v>413541</v>
      </c>
      <c r="L160" s="9">
        <f t="shared" ref="L160:L161" si="184">H160/G160</f>
        <v>0.50112000000000001</v>
      </c>
      <c r="M160" s="5">
        <f t="shared" ref="M160:M161" si="185">J160/G160</f>
        <v>4.1504300000000001</v>
      </c>
      <c r="N160" s="5">
        <f t="shared" ref="N160:N161" si="186">K160/G160</f>
        <v>4.1354100000000003</v>
      </c>
      <c r="O160" s="5">
        <f>(L160-$L$86)*162</f>
        <v>0.2694600000000027</v>
      </c>
      <c r="P160" s="4">
        <f>-(N160-$N$86)*162</f>
        <v>3.2864399999999474</v>
      </c>
    </row>
    <row r="161" spans="1:16" x14ac:dyDescent="0.5">
      <c r="A161" t="s">
        <v>247</v>
      </c>
      <c r="B161" t="str">
        <f t="shared" si="182"/>
        <v>RNG50xERR80xARM50</v>
      </c>
      <c r="C161">
        <v>50</v>
      </c>
      <c r="D161">
        <v>80</v>
      </c>
      <c r="E161">
        <v>50</v>
      </c>
      <c r="G161">
        <v>100000</v>
      </c>
      <c r="H161">
        <v>49945</v>
      </c>
      <c r="I161" s="3">
        <f t="shared" si="183"/>
        <v>50055</v>
      </c>
      <c r="J161">
        <v>415291</v>
      </c>
      <c r="K161">
        <v>414979</v>
      </c>
      <c r="L161" s="9">
        <f t="shared" si="184"/>
        <v>0.49945000000000001</v>
      </c>
      <c r="M161" s="5">
        <f t="shared" si="185"/>
        <v>4.1529100000000003</v>
      </c>
      <c r="N161" s="5">
        <f t="shared" si="186"/>
        <v>4.1497900000000003</v>
      </c>
      <c r="O161" s="5">
        <f>(L161-$L$86)*162</f>
        <v>-1.0799999999980825E-3</v>
      </c>
      <c r="P161" s="4">
        <f>-(N161-$N$86)*162</f>
        <v>0.95687999999993778</v>
      </c>
    </row>
    <row r="162" spans="1:16" x14ac:dyDescent="0.5">
      <c r="A162" t="s">
        <v>247</v>
      </c>
      <c r="B162" t="str">
        <f t="shared" si="175"/>
        <v>RNG50xERR50xARM20</v>
      </c>
      <c r="C162">
        <v>50</v>
      </c>
      <c r="D162">
        <v>50</v>
      </c>
      <c r="E162">
        <v>20</v>
      </c>
      <c r="G162">
        <v>100000</v>
      </c>
      <c r="H162">
        <v>49385</v>
      </c>
      <c r="I162" s="3">
        <f t="shared" si="176"/>
        <v>50615</v>
      </c>
      <c r="J162">
        <v>415515</v>
      </c>
      <c r="K162">
        <v>419119</v>
      </c>
      <c r="L162" s="9">
        <f t="shared" si="177"/>
        <v>0.49385000000000001</v>
      </c>
      <c r="M162" s="5">
        <f t="shared" si="178"/>
        <v>4.1551499999999999</v>
      </c>
      <c r="N162" s="5">
        <f t="shared" si="179"/>
        <v>4.1911899999999997</v>
      </c>
      <c r="O162" s="5">
        <f>(L162-$L$86)*162</f>
        <v>-0.90827999999999709</v>
      </c>
      <c r="P162" s="4">
        <f>-(N162-$N$86)*162</f>
        <v>-5.7499199999999711</v>
      </c>
    </row>
    <row r="163" spans="1:16" x14ac:dyDescent="0.5">
      <c r="A163" t="s">
        <v>247</v>
      </c>
      <c r="B163" t="str">
        <f>_xlfn.CONCAT("RNG",C163,"xERR",D163,"xARM",E163)</f>
        <v>RNG50xERR50xARM80</v>
      </c>
      <c r="C163">
        <v>50</v>
      </c>
      <c r="D163">
        <v>50</v>
      </c>
      <c r="E163">
        <v>80</v>
      </c>
      <c r="G163">
        <v>100000</v>
      </c>
      <c r="H163">
        <v>50591</v>
      </c>
      <c r="I163" s="3">
        <f>G163-H163</f>
        <v>49409</v>
      </c>
      <c r="J163">
        <v>417195</v>
      </c>
      <c r="K163">
        <v>411486</v>
      </c>
      <c r="L163" s="9">
        <f>H163/G163</f>
        <v>0.50590999999999997</v>
      </c>
      <c r="M163" s="5">
        <f>J163/G163</f>
        <v>4.1719499999999998</v>
      </c>
      <c r="N163" s="5">
        <f>K163/G163</f>
        <v>4.1148600000000002</v>
      </c>
      <c r="O163" s="5">
        <f>(L163-$L$86)*162</f>
        <v>1.0454399999999964</v>
      </c>
      <c r="P163" s="4">
        <f>-(N163-$N$86)*162</f>
        <v>6.6155399999999585</v>
      </c>
    </row>
  </sheetData>
  <autoFilter ref="A3:P159" xr:uid="{3E055DBA-5475-46EF-8DA6-B1DB023B8E2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F14C-E57D-493D-B178-076B4EF426E2}">
  <sheetPr filterMode="1"/>
  <dimension ref="A1:AP47"/>
  <sheetViews>
    <sheetView topLeftCell="A4" zoomScale="70" zoomScaleNormal="70" workbookViewId="0">
      <selection activeCell="A12" sqref="A12:XFD12"/>
    </sheetView>
  </sheetViews>
  <sheetFormatPr defaultRowHeight="14.35" x14ac:dyDescent="0.5"/>
  <cols>
    <col min="1" max="1" width="13.1171875" customWidth="1"/>
    <col min="2" max="2" width="15.1171875" customWidth="1"/>
    <col min="3" max="3" width="18.41015625" bestFit="1" customWidth="1"/>
    <col min="10" max="10" width="10.46875" bestFit="1" customWidth="1"/>
    <col min="11" max="11" width="11.703125" bestFit="1" customWidth="1"/>
    <col min="12" max="12" width="11.703125" customWidth="1"/>
    <col min="15" max="15" width="10.41015625" bestFit="1" customWidth="1"/>
    <col min="16" max="16" width="11.29296875" bestFit="1" customWidth="1"/>
    <col min="17" max="17" width="10.29296875" customWidth="1"/>
    <col min="18" max="19" width="10.29296875" bestFit="1" customWidth="1"/>
    <col min="20" max="23" width="9.29296875" bestFit="1" customWidth="1"/>
    <col min="24" max="24" width="10.29296875" bestFit="1" customWidth="1"/>
    <col min="25" max="27" width="9.05859375" bestFit="1" customWidth="1"/>
    <col min="33" max="33" width="10.76171875" bestFit="1" customWidth="1"/>
    <col min="34" max="35" width="11.76171875" bestFit="1" customWidth="1"/>
    <col min="37" max="37" width="10.76171875" bestFit="1" customWidth="1"/>
    <col min="40" max="40" width="6.5859375" customWidth="1"/>
  </cols>
  <sheetData>
    <row r="1" spans="1:42" x14ac:dyDescent="0.5">
      <c r="A1" t="s">
        <v>196</v>
      </c>
      <c r="AD1" s="4">
        <f>J7</f>
        <v>4</v>
      </c>
      <c r="AE1">
        <v>0.9398310461117233</v>
      </c>
      <c r="AF1">
        <v>3.2701689538882768</v>
      </c>
      <c r="AG1" t="s">
        <v>197</v>
      </c>
      <c r="AJ1" t="s">
        <v>198</v>
      </c>
      <c r="AK1">
        <v>0.9</v>
      </c>
      <c r="AL1">
        <v>0.15644638044814305</v>
      </c>
      <c r="AM1">
        <v>0.68270875118758567</v>
      </c>
      <c r="AN1" t="s">
        <v>199</v>
      </c>
    </row>
    <row r="2" spans="1:42" x14ac:dyDescent="0.5">
      <c r="A2" t="s">
        <v>200</v>
      </c>
      <c r="M2" t="s">
        <v>201</v>
      </c>
      <c r="AJ2" t="s">
        <v>202</v>
      </c>
      <c r="AK2">
        <v>1.24</v>
      </c>
      <c r="AL2">
        <v>4.4984412209324885E-2</v>
      </c>
      <c r="AM2">
        <v>0.27046506445218577</v>
      </c>
      <c r="AN2" t="s">
        <v>203</v>
      </c>
    </row>
    <row r="3" spans="1:42" x14ac:dyDescent="0.5">
      <c r="A3" t="s">
        <v>204</v>
      </c>
      <c r="AJ3" t="s">
        <v>205</v>
      </c>
      <c r="AK3">
        <v>1.56</v>
      </c>
      <c r="AL3">
        <v>4.8090455728187712E-3</v>
      </c>
      <c r="AM3">
        <v>3.6375664168338089E-2</v>
      </c>
      <c r="AN3" t="s">
        <v>206</v>
      </c>
    </row>
    <row r="4" spans="1:42" x14ac:dyDescent="0.5">
      <c r="AH4">
        <v>1.95</v>
      </c>
      <c r="AI4">
        <v>0.72</v>
      </c>
      <c r="AK4">
        <v>0.98954947980810948</v>
      </c>
      <c r="AL4">
        <v>0.20623983823028672</v>
      </c>
      <c r="AM4">
        <v>0.98954947980810948</v>
      </c>
    </row>
    <row r="5" spans="1:42" x14ac:dyDescent="0.5">
      <c r="A5" t="s">
        <v>207</v>
      </c>
      <c r="J5" t="s">
        <v>208</v>
      </c>
      <c r="K5" t="s">
        <v>209</v>
      </c>
      <c r="M5" t="s">
        <v>48</v>
      </c>
      <c r="N5" t="s">
        <v>48</v>
      </c>
      <c r="O5" t="s">
        <v>48</v>
      </c>
      <c r="P5" t="s">
        <v>48</v>
      </c>
      <c r="Q5" t="s">
        <v>210</v>
      </c>
      <c r="R5" t="s">
        <v>210</v>
      </c>
      <c r="S5" t="s">
        <v>210</v>
      </c>
      <c r="T5" t="s">
        <v>210</v>
      </c>
      <c r="U5" t="s">
        <v>210</v>
      </c>
      <c r="V5" t="s">
        <v>210</v>
      </c>
      <c r="W5" t="s">
        <v>210</v>
      </c>
      <c r="X5" t="s">
        <v>210</v>
      </c>
      <c r="Y5" t="s">
        <v>210</v>
      </c>
      <c r="Z5" t="s">
        <v>210</v>
      </c>
      <c r="AA5" t="s">
        <v>210</v>
      </c>
      <c r="AB5" t="s">
        <v>48</v>
      </c>
      <c r="AC5" t="s">
        <v>48</v>
      </c>
      <c r="AD5" t="s">
        <v>48</v>
      </c>
      <c r="AE5" t="s">
        <v>48</v>
      </c>
      <c r="AF5" t="s">
        <v>210</v>
      </c>
      <c r="AG5" t="s">
        <v>210</v>
      </c>
      <c r="AH5" t="s">
        <v>210</v>
      </c>
      <c r="AI5" t="s">
        <v>210</v>
      </c>
      <c r="AJ5" t="s">
        <v>210</v>
      </c>
      <c r="AK5" t="s">
        <v>210</v>
      </c>
      <c r="AL5" t="s">
        <v>210</v>
      </c>
      <c r="AM5" t="s">
        <v>211</v>
      </c>
    </row>
    <row r="6" spans="1:42" x14ac:dyDescent="0.5">
      <c r="A6" t="s">
        <v>239</v>
      </c>
      <c r="B6" t="s">
        <v>212</v>
      </c>
      <c r="C6" t="s">
        <v>228</v>
      </c>
      <c r="D6" t="s">
        <v>221</v>
      </c>
      <c r="E6" t="s">
        <v>243</v>
      </c>
      <c r="F6" t="s">
        <v>220</v>
      </c>
      <c r="G6" t="s">
        <v>222</v>
      </c>
      <c r="H6" t="s">
        <v>236</v>
      </c>
      <c r="I6" t="s">
        <v>241</v>
      </c>
      <c r="J6" t="s">
        <v>213</v>
      </c>
      <c r="K6" t="s">
        <v>213</v>
      </c>
      <c r="L6" t="s">
        <v>227</v>
      </c>
      <c r="M6" t="s">
        <v>40</v>
      </c>
      <c r="N6" t="s">
        <v>41</v>
      </c>
      <c r="O6" t="s">
        <v>161</v>
      </c>
      <c r="P6" t="s">
        <v>162</v>
      </c>
      <c r="Q6" t="s">
        <v>244</v>
      </c>
      <c r="R6" t="s">
        <v>214</v>
      </c>
      <c r="S6" t="s">
        <v>215</v>
      </c>
      <c r="T6" t="s">
        <v>225</v>
      </c>
      <c r="U6" t="s">
        <v>224</v>
      </c>
      <c r="V6" t="s">
        <v>7</v>
      </c>
      <c r="W6" t="s">
        <v>10</v>
      </c>
      <c r="X6" t="s">
        <v>11</v>
      </c>
      <c r="Y6" t="s">
        <v>216</v>
      </c>
      <c r="Z6" t="s">
        <v>226</v>
      </c>
      <c r="AA6" t="s">
        <v>23</v>
      </c>
      <c r="AB6" t="s">
        <v>44</v>
      </c>
      <c r="AC6" t="s">
        <v>163</v>
      </c>
      <c r="AD6" t="s">
        <v>46</v>
      </c>
      <c r="AE6" t="s">
        <v>164</v>
      </c>
      <c r="AF6" t="s">
        <v>217</v>
      </c>
      <c r="AG6" t="s">
        <v>218</v>
      </c>
      <c r="AH6" t="s">
        <v>31</v>
      </c>
      <c r="AI6" t="s">
        <v>32</v>
      </c>
      <c r="AJ6" t="s">
        <v>33</v>
      </c>
      <c r="AK6" t="s">
        <v>219</v>
      </c>
      <c r="AL6" t="s">
        <v>238</v>
      </c>
      <c r="AM6" t="s">
        <v>31</v>
      </c>
      <c r="AN6" t="s">
        <v>32</v>
      </c>
      <c r="AO6" t="s">
        <v>33</v>
      </c>
      <c r="AP6" t="s">
        <v>219</v>
      </c>
    </row>
    <row r="7" spans="1:42" x14ac:dyDescent="0.5">
      <c r="A7" t="s">
        <v>240</v>
      </c>
      <c r="B7" t="s">
        <v>165</v>
      </c>
      <c r="C7" t="str">
        <f>_xlfn.CONCAT(D7,"/",E7,"/",F7,"/",G7,"/",H7,"/",I7)</f>
        <v>50/97/50/50/50/50</v>
      </c>
      <c r="D7">
        <v>50</v>
      </c>
      <c r="E7">
        <v>97</v>
      </c>
      <c r="F7">
        <v>50</v>
      </c>
      <c r="G7">
        <v>50</v>
      </c>
      <c r="H7">
        <v>50</v>
      </c>
      <c r="I7">
        <v>50</v>
      </c>
      <c r="J7" s="5">
        <v>4</v>
      </c>
      <c r="K7">
        <v>3.1</v>
      </c>
      <c r="L7">
        <v>100000</v>
      </c>
      <c r="M7">
        <v>49986</v>
      </c>
      <c r="N7">
        <f>L7-M7</f>
        <v>50014</v>
      </c>
      <c r="O7">
        <v>439414</v>
      </c>
      <c r="P7">
        <v>440289</v>
      </c>
      <c r="Q7" s="5">
        <f t="shared" ref="Q7:Q37" si="0">ROUND(R7,0)/(L7/5)</f>
        <v>5.63985</v>
      </c>
      <c r="R7">
        <v>112797.2</v>
      </c>
      <c r="S7">
        <v>116180</v>
      </c>
      <c r="T7">
        <v>56768</v>
      </c>
      <c r="U7">
        <v>52733</v>
      </c>
      <c r="V7">
        <v>13047</v>
      </c>
      <c r="W7">
        <v>36304</v>
      </c>
      <c r="X7">
        <v>103131</v>
      </c>
      <c r="Y7">
        <v>1.35</v>
      </c>
      <c r="Z7">
        <v>0.26400000000000001</v>
      </c>
      <c r="AA7">
        <v>0.315</v>
      </c>
      <c r="AB7" s="2">
        <f t="shared" ref="AB7:AB47" si="1">M7/L7</f>
        <v>0.49986000000000003</v>
      </c>
      <c r="AC7" s="5">
        <f t="shared" ref="AC7:AC47" si="2">P7/L7</f>
        <v>4.4028900000000002</v>
      </c>
      <c r="AF7" s="5">
        <f t="shared" ref="AF7:AF47" si="3">(((13*V7)+(3*W7)-(2*X7))/R7)+$AF$1</f>
        <v>3.9107965581195874</v>
      </c>
      <c r="AG7" s="3">
        <f t="shared" ref="AG7:AG47" si="4">(((R7*3)-X7)*0.966)+S7+W7+X7</f>
        <v>482876.73959999997</v>
      </c>
      <c r="AH7" s="2">
        <f>V7/$AG7</f>
        <v>2.7019317622977095E-2</v>
      </c>
      <c r="AI7" s="2">
        <f t="shared" ref="AI7:AJ7" si="5">W7/$AG7</f>
        <v>7.5182747526984006E-2</v>
      </c>
      <c r="AJ7" s="2">
        <f t="shared" si="5"/>
        <v>0.21357624325708979</v>
      </c>
      <c r="AK7" s="2">
        <f>(S7-V7)/$AG7</f>
        <v>0.21358038510082752</v>
      </c>
      <c r="AL7" s="6">
        <f>SUMPRODUCT($AH$4:$AK$4,AH7:AK7)</f>
        <v>0.31816760655797338</v>
      </c>
    </row>
    <row r="8" spans="1:42" x14ac:dyDescent="0.5">
      <c r="A8" t="s">
        <v>240</v>
      </c>
      <c r="B8" t="s">
        <v>165</v>
      </c>
      <c r="C8" t="str">
        <f t="shared" ref="C8:C37" si="6">_xlfn.CONCAT(D8,"/",E8,"/",F8,"/",G8,"/",H8,"/",I8)</f>
        <v>50/97/50/50/50/50</v>
      </c>
      <c r="D8">
        <v>50</v>
      </c>
      <c r="E8">
        <v>97</v>
      </c>
      <c r="F8">
        <v>50</v>
      </c>
      <c r="G8">
        <v>50</v>
      </c>
      <c r="H8">
        <v>50</v>
      </c>
      <c r="I8">
        <v>50</v>
      </c>
      <c r="J8" s="5">
        <v>4</v>
      </c>
      <c r="K8">
        <v>3.1</v>
      </c>
      <c r="L8">
        <v>100000</v>
      </c>
      <c r="M8">
        <v>50060</v>
      </c>
      <c r="N8">
        <f t="shared" ref="N8:N47" si="7">L8-M8</f>
        <v>49940</v>
      </c>
      <c r="O8">
        <v>439626</v>
      </c>
      <c r="P8">
        <v>439803</v>
      </c>
      <c r="Q8" s="5">
        <f t="shared" si="0"/>
        <v>5.6415499999999996</v>
      </c>
      <c r="R8">
        <v>112831.1</v>
      </c>
      <c r="S8">
        <v>116016</v>
      </c>
      <c r="T8">
        <v>56832</v>
      </c>
      <c r="U8">
        <v>52829</v>
      </c>
      <c r="V8">
        <v>12902</v>
      </c>
      <c r="W8">
        <v>36364</v>
      </c>
      <c r="X8">
        <v>103111</v>
      </c>
      <c r="Y8">
        <v>1.35</v>
      </c>
      <c r="Z8">
        <v>0.26300000000000001</v>
      </c>
      <c r="AA8">
        <v>0.315</v>
      </c>
      <c r="AB8" s="2">
        <f t="shared" si="1"/>
        <v>0.50060000000000004</v>
      </c>
      <c r="AC8" s="5">
        <f t="shared" si="2"/>
        <v>4.3980300000000003</v>
      </c>
      <c r="AF8" s="5">
        <f t="shared" si="3"/>
        <v>3.8958475123708229</v>
      </c>
      <c r="AG8" s="3">
        <f t="shared" si="4"/>
        <v>482870.30180000002</v>
      </c>
      <c r="AH8" s="2">
        <f t="shared" ref="AH8:AH10" si="8">V8/$AG8</f>
        <v>2.6719390179733765E-2</v>
      </c>
      <c r="AI8" s="2">
        <f t="shared" ref="AI8:AI10" si="9">W8/$AG8</f>
        <v>7.530800685907911E-2</v>
      </c>
      <c r="AJ8" s="2">
        <f t="shared" ref="AJ8:AJ10" si="10">X8/$AG8</f>
        <v>0.2135376717425615</v>
      </c>
      <c r="AK8" s="2">
        <f t="shared" ref="AK8:AK10" si="11">(S8-V8)/$AG8</f>
        <v>0.21354388459099888</v>
      </c>
      <c r="AL8" s="6">
        <f t="shared" ref="AL8:AL10" si="12">SUMPRODUCT($AH$4:$AK$4,AH8:AK8)</f>
        <v>0.31763681570224367</v>
      </c>
    </row>
    <row r="9" spans="1:42" hidden="1" x14ac:dyDescent="0.5">
      <c r="A9" t="s">
        <v>171</v>
      </c>
      <c r="B9" t="s">
        <v>165</v>
      </c>
      <c r="C9">
        <v>80</v>
      </c>
      <c r="D9">
        <v>80</v>
      </c>
      <c r="E9">
        <v>80</v>
      </c>
      <c r="F9">
        <v>80</v>
      </c>
      <c r="G9">
        <v>100000</v>
      </c>
      <c r="I9">
        <v>50</v>
      </c>
      <c r="J9" s="5"/>
      <c r="L9">
        <v>100000</v>
      </c>
      <c r="M9">
        <v>50060</v>
      </c>
      <c r="N9">
        <f t="shared" ref="N9" si="13">L9-M9</f>
        <v>49940</v>
      </c>
      <c r="O9">
        <v>439626</v>
      </c>
      <c r="P9">
        <v>439803</v>
      </c>
      <c r="Q9" s="5"/>
      <c r="AB9" s="2"/>
      <c r="AC9" s="5"/>
      <c r="AF9" s="5"/>
      <c r="AG9" s="3"/>
      <c r="AH9" s="2"/>
      <c r="AI9" s="2"/>
      <c r="AJ9" s="2"/>
      <c r="AK9" s="2"/>
      <c r="AL9" s="6"/>
    </row>
    <row r="10" spans="1:42" x14ac:dyDescent="0.5">
      <c r="A10" t="s">
        <v>240</v>
      </c>
      <c r="B10" t="s">
        <v>165</v>
      </c>
      <c r="C10" t="str">
        <f t="shared" si="6"/>
        <v>50/97/50/50/50/50</v>
      </c>
      <c r="D10">
        <v>50</v>
      </c>
      <c r="E10">
        <v>97</v>
      </c>
      <c r="F10">
        <v>50</v>
      </c>
      <c r="G10">
        <v>50</v>
      </c>
      <c r="H10">
        <v>50</v>
      </c>
      <c r="I10">
        <v>50</v>
      </c>
      <c r="J10" s="5">
        <v>4</v>
      </c>
      <c r="K10">
        <v>3.1</v>
      </c>
      <c r="L10">
        <v>100000</v>
      </c>
      <c r="M10">
        <v>49810</v>
      </c>
      <c r="N10">
        <f t="shared" si="7"/>
        <v>50190</v>
      </c>
      <c r="O10">
        <v>438980</v>
      </c>
      <c r="P10">
        <v>440908</v>
      </c>
      <c r="Q10" s="5">
        <f t="shared" si="0"/>
        <v>5.6367000000000003</v>
      </c>
      <c r="R10">
        <v>112734.2</v>
      </c>
      <c r="S10">
        <v>115829</v>
      </c>
      <c r="T10">
        <v>56773</v>
      </c>
      <c r="U10">
        <v>52750</v>
      </c>
      <c r="V10">
        <v>12952</v>
      </c>
      <c r="W10">
        <v>36366</v>
      </c>
      <c r="X10">
        <v>103447</v>
      </c>
      <c r="Y10">
        <v>1.35</v>
      </c>
      <c r="Z10">
        <v>0.26300000000000001</v>
      </c>
      <c r="AA10">
        <v>0.315</v>
      </c>
      <c r="AB10" s="2">
        <f t="shared" si="1"/>
        <v>0.49809999999999999</v>
      </c>
      <c r="AC10" s="5">
        <f t="shared" si="2"/>
        <v>4.4090800000000003</v>
      </c>
      <c r="AF10" s="5">
        <f t="shared" si="3"/>
        <v>3.8962433838305657</v>
      </c>
      <c r="AG10" s="3">
        <f t="shared" si="4"/>
        <v>482415.90960000001</v>
      </c>
      <c r="AH10" s="2">
        <f t="shared" si="8"/>
        <v>2.6848202437476161E-2</v>
      </c>
      <c r="AI10" s="2">
        <f t="shared" si="9"/>
        <v>7.538308599762647E-2</v>
      </c>
      <c r="AJ10" s="2">
        <f t="shared" si="10"/>
        <v>0.21443529937844322</v>
      </c>
      <c r="AK10" s="2">
        <f t="shared" si="11"/>
        <v>0.21325374630638011</v>
      </c>
      <c r="AL10" s="6">
        <f t="shared" si="12"/>
        <v>0.31765495039597857</v>
      </c>
    </row>
    <row r="11" spans="1:42" x14ac:dyDescent="0.5">
      <c r="A11" t="s">
        <v>240</v>
      </c>
      <c r="B11" t="s">
        <v>34</v>
      </c>
      <c r="C11" t="str">
        <f t="shared" si="6"/>
        <v>50/97/50/50/50/50</v>
      </c>
      <c r="D11">
        <v>50</v>
      </c>
      <c r="E11">
        <v>97</v>
      </c>
      <c r="F11">
        <v>50</v>
      </c>
      <c r="G11">
        <v>50</v>
      </c>
      <c r="H11">
        <v>50</v>
      </c>
      <c r="I11">
        <v>50</v>
      </c>
      <c r="J11" s="5">
        <v>4</v>
      </c>
      <c r="K11">
        <v>3.1</v>
      </c>
      <c r="L11">
        <f>AVERAGE(L7:L10)</f>
        <v>100000</v>
      </c>
      <c r="M11">
        <f>AVERAGE(M7:M10)</f>
        <v>49979</v>
      </c>
      <c r="N11">
        <f t="shared" si="7"/>
        <v>50021</v>
      </c>
      <c r="O11">
        <f>AVERAGE(O7:O10)</f>
        <v>439411.5</v>
      </c>
      <c r="P11" s="3">
        <f>AVERAGE(P7:P10)</f>
        <v>440200.75</v>
      </c>
      <c r="Q11" s="5">
        <f t="shared" si="0"/>
        <v>5.6394000000000002</v>
      </c>
      <c r="R11" s="3">
        <f t="shared" ref="R11:AA11" si="14">AVERAGE(R7:R10)</f>
        <v>112787.5</v>
      </c>
      <c r="S11" s="3">
        <f t="shared" si="14"/>
        <v>116008.33333333333</v>
      </c>
      <c r="T11" s="3">
        <f t="shared" si="14"/>
        <v>56791</v>
      </c>
      <c r="U11" s="3">
        <f t="shared" si="14"/>
        <v>52770.666666666664</v>
      </c>
      <c r="V11" s="3">
        <f t="shared" si="14"/>
        <v>12967</v>
      </c>
      <c r="W11" s="3">
        <f t="shared" si="14"/>
        <v>36344.666666666664</v>
      </c>
      <c r="X11" s="3">
        <f t="shared" si="14"/>
        <v>103229.66666666667</v>
      </c>
      <c r="Y11" s="6">
        <f t="shared" si="14"/>
        <v>1.3500000000000003</v>
      </c>
      <c r="Z11" s="6">
        <f t="shared" si="14"/>
        <v>0.26333333333333336</v>
      </c>
      <c r="AA11" s="6">
        <f t="shared" si="14"/>
        <v>0.315</v>
      </c>
      <c r="AB11" s="2">
        <f t="shared" si="1"/>
        <v>0.49979000000000001</v>
      </c>
      <c r="AC11" s="5">
        <f t="shared" si="2"/>
        <v>4.4020074999999999</v>
      </c>
      <c r="AF11" s="5">
        <f t="shared" si="3"/>
        <v>3.9009628509661147</v>
      </c>
      <c r="AG11" s="3">
        <f t="shared" si="4"/>
        <v>482720.98366666667</v>
      </c>
      <c r="AH11" s="2">
        <f t="shared" ref="AH11" si="15">V11/$AG11</f>
        <v>2.6862308535885199E-2</v>
      </c>
      <c r="AI11" s="2">
        <f t="shared" ref="AI11" si="16">W11/$AG11</f>
        <v>7.529125083935391E-2</v>
      </c>
      <c r="AJ11" s="2">
        <f t="shared" ref="AJ11" si="17">X11/$AG11</f>
        <v>0.21384955317780396</v>
      </c>
      <c r="AK11" s="2">
        <f>(S11-V11)/$AG11</f>
        <v>0.21345940371319441</v>
      </c>
      <c r="AL11" s="6">
        <f t="shared" ref="AL11" si="18">SUMPRODUCT($AH$4:$AK$4,AH11:AK11)</f>
        <v>0.31781984415385173</v>
      </c>
    </row>
    <row r="12" spans="1:42" x14ac:dyDescent="0.5">
      <c r="A12" t="s">
        <v>240</v>
      </c>
      <c r="B12" t="s">
        <v>34</v>
      </c>
      <c r="C12">
        <v>80</v>
      </c>
      <c r="D12">
        <v>80</v>
      </c>
      <c r="E12">
        <v>80</v>
      </c>
      <c r="F12">
        <v>80</v>
      </c>
      <c r="G12">
        <v>100000</v>
      </c>
      <c r="H12">
        <v>50523</v>
      </c>
      <c r="I12">
        <v>50</v>
      </c>
      <c r="J12" s="5">
        <v>415708</v>
      </c>
      <c r="K12">
        <v>410767</v>
      </c>
      <c r="L12">
        <f>AVERAGE(L8:L11)</f>
        <v>100000</v>
      </c>
      <c r="M12">
        <f>AVERAGE(M8:M11)</f>
        <v>49977.25</v>
      </c>
      <c r="N12">
        <f t="shared" ref="N12" si="19">L12-M12</f>
        <v>50022.75</v>
      </c>
      <c r="O12">
        <f>AVERAGE(O8:O11)</f>
        <v>439410.875</v>
      </c>
      <c r="P12" s="3">
        <f>AVERAGE(P8:P11)</f>
        <v>440178.6875</v>
      </c>
      <c r="Q12" s="5"/>
      <c r="R12" s="3"/>
      <c r="S12" s="3"/>
      <c r="T12" s="3"/>
      <c r="U12" s="3"/>
      <c r="V12" s="3"/>
      <c r="W12" s="3"/>
      <c r="X12" s="3"/>
      <c r="Y12" s="6"/>
      <c r="Z12" s="6"/>
      <c r="AA12" s="6"/>
      <c r="AB12" s="2"/>
      <c r="AC12" s="5"/>
      <c r="AF12" s="5"/>
      <c r="AG12" s="3"/>
      <c r="AH12" s="2"/>
      <c r="AI12" s="2"/>
      <c r="AJ12" s="2"/>
      <c r="AK12" s="2"/>
      <c r="AL12" s="6"/>
    </row>
    <row r="13" spans="1:42" x14ac:dyDescent="0.5">
      <c r="A13" t="s">
        <v>240</v>
      </c>
      <c r="B13" t="s">
        <v>223</v>
      </c>
      <c r="C13" t="str">
        <f t="shared" si="6"/>
        <v>50/97/50/50/48019/50</v>
      </c>
      <c r="D13">
        <v>50</v>
      </c>
      <c r="E13">
        <v>97</v>
      </c>
      <c r="F13">
        <v>50</v>
      </c>
      <c r="G13">
        <v>50</v>
      </c>
      <c r="H13">
        <v>48019</v>
      </c>
      <c r="I13">
        <v>50</v>
      </c>
      <c r="J13" s="5">
        <v>416271</v>
      </c>
      <c r="K13">
        <v>436694</v>
      </c>
      <c r="L13">
        <f>AVERAGE(L8:L11)</f>
        <v>100000</v>
      </c>
      <c r="M13">
        <f>AVERAGE(M8:M11)</f>
        <v>49977.25</v>
      </c>
      <c r="N13">
        <f t="shared" ref="N13:N19" si="20">L13-M13</f>
        <v>50022.75</v>
      </c>
      <c r="O13">
        <f>AVERAGE(O8:O11)</f>
        <v>439410.875</v>
      </c>
      <c r="P13" s="3">
        <f>AVERAGE(P8:P11)</f>
        <v>440178.6875</v>
      </c>
      <c r="Q13" s="5">
        <f t="shared" si="0"/>
        <v>4.3945499999999997</v>
      </c>
      <c r="R13">
        <v>87891</v>
      </c>
      <c r="S13">
        <v>88239</v>
      </c>
      <c r="T13">
        <v>71409</v>
      </c>
      <c r="U13">
        <v>66835</v>
      </c>
      <c r="V13">
        <v>10107</v>
      </c>
      <c r="W13">
        <v>95641</v>
      </c>
      <c r="X13">
        <v>78725</v>
      </c>
      <c r="Y13">
        <v>2.09</v>
      </c>
      <c r="Z13">
        <v>0.26400000000000001</v>
      </c>
      <c r="AA13">
        <v>0.315</v>
      </c>
      <c r="AB13" s="2">
        <f t="shared" si="1"/>
        <v>0.49977250000000001</v>
      </c>
      <c r="AC13" s="5">
        <f t="shared" si="2"/>
        <v>4.401786875</v>
      </c>
      <c r="AD13" s="4">
        <f>(AB13-AB$11)*162</f>
        <v>-2.8350000000005871E-3</v>
      </c>
      <c r="AE13" s="4">
        <f>-(AC13-AC$11)*162</f>
        <v>3.5741249999977853E-2</v>
      </c>
      <c r="AF13" s="5">
        <f t="shared" si="3"/>
        <v>6.2382089124733424</v>
      </c>
      <c r="AG13" s="3">
        <f t="shared" si="4"/>
        <v>441264.76799999998</v>
      </c>
      <c r="AH13" s="2">
        <f t="shared" ref="AH13:AH18" si="21">V13/$AG13</f>
        <v>2.2904615851859718E-2</v>
      </c>
      <c r="AI13" s="2">
        <f t="shared" ref="AI13:AI18" si="22">W13/$AG13</f>
        <v>0.21674288757175375</v>
      </c>
      <c r="AJ13" s="2">
        <f t="shared" ref="AJ13:AJ18" si="23">X13/$AG13</f>
        <v>0.17840762668820187</v>
      </c>
      <c r="AK13" s="2">
        <f t="shared" ref="AK13:AK18" si="24">(S13-V13)/$AG13</f>
        <v>0.17706376231695889</v>
      </c>
      <c r="AL13" s="6">
        <f t="shared" ref="AL13:AL18" si="25">SUMPRODUCT($AH$4:$AK$4,AH13:AK13)</f>
        <v>0.37593223385640251</v>
      </c>
      <c r="AM13" s="7">
        <f>AH13/AH$11</f>
        <v>0.85266744000284178</v>
      </c>
      <c r="AN13" s="7">
        <f t="shared" ref="AN13:AP13" si="26">AI13/AI$11</f>
        <v>2.8787260824529244</v>
      </c>
      <c r="AO13" s="7">
        <f t="shared" si="26"/>
        <v>0.83426700704801515</v>
      </c>
      <c r="AP13" s="7">
        <f t="shared" si="26"/>
        <v>0.82949619101748751</v>
      </c>
    </row>
    <row r="14" spans="1:42" x14ac:dyDescent="0.5">
      <c r="A14" t="s">
        <v>240</v>
      </c>
      <c r="B14" t="s">
        <v>223</v>
      </c>
      <c r="C14" t="str">
        <f t="shared" si="6"/>
        <v>50/97/50/50/25/50</v>
      </c>
      <c r="D14">
        <v>50</v>
      </c>
      <c r="E14">
        <v>97</v>
      </c>
      <c r="F14">
        <v>50</v>
      </c>
      <c r="G14">
        <v>50</v>
      </c>
      <c r="H14">
        <v>25</v>
      </c>
      <c r="I14">
        <v>50</v>
      </c>
      <c r="J14" s="5">
        <v>5.47</v>
      </c>
      <c r="K14">
        <v>-0.7</v>
      </c>
      <c r="L14">
        <f>AVERAGE(L10:L13)</f>
        <v>100000</v>
      </c>
      <c r="M14">
        <f>AVERAGE(M10:M13)</f>
        <v>49935.875</v>
      </c>
      <c r="N14">
        <f t="shared" si="20"/>
        <v>50064.125</v>
      </c>
      <c r="O14">
        <f>AVERAGE(O10:O13)</f>
        <v>439303.3125</v>
      </c>
      <c r="P14" s="3">
        <f>AVERAGE(P10:P13)</f>
        <v>440366.53125</v>
      </c>
      <c r="Q14" s="5">
        <f t="shared" si="0"/>
        <v>4.8234500000000002</v>
      </c>
      <c r="R14">
        <v>96469</v>
      </c>
      <c r="S14">
        <v>97756</v>
      </c>
      <c r="T14">
        <v>65111</v>
      </c>
      <c r="U14">
        <v>60602</v>
      </c>
      <c r="V14">
        <v>10945</v>
      </c>
      <c r="W14">
        <v>75671</v>
      </c>
      <c r="X14">
        <v>86788</v>
      </c>
      <c r="Y14">
        <v>1.8</v>
      </c>
      <c r="Z14">
        <v>0.26400000000000001</v>
      </c>
      <c r="AA14">
        <v>0.315</v>
      </c>
      <c r="AB14" s="2">
        <f t="shared" si="1"/>
        <v>0.49935875000000002</v>
      </c>
      <c r="AC14" s="5">
        <f t="shared" si="2"/>
        <v>4.4036653125000003</v>
      </c>
      <c r="AD14" s="4">
        <f t="shared" ref="AD14:AD18" si="27">(AB14-AB$11)*162</f>
        <v>-6.986249999999905E-2</v>
      </c>
      <c r="AE14" s="4">
        <f t="shared" ref="AE14:AE18" si="28">-(AC14-AC$11)*162</f>
        <v>-0.26856562500006653</v>
      </c>
      <c r="AF14" s="5">
        <f t="shared" si="3"/>
        <v>5.2990279655915185</v>
      </c>
      <c r="AG14" s="3">
        <f t="shared" si="4"/>
        <v>455944.95400000003</v>
      </c>
      <c r="AH14" s="2">
        <f t="shared" si="21"/>
        <v>2.4005090754880904E-2</v>
      </c>
      <c r="AI14" s="2">
        <f t="shared" si="22"/>
        <v>0.16596520991435293</v>
      </c>
      <c r="AJ14" s="2">
        <f t="shared" si="23"/>
        <v>0.19034753919000494</v>
      </c>
      <c r="AK14" s="2">
        <f t="shared" si="24"/>
        <v>0.19039798387592199</v>
      </c>
      <c r="AL14" s="6">
        <f t="shared" si="25"/>
        <v>0.35471310401128331</v>
      </c>
      <c r="AM14" s="7">
        <f t="shared" ref="AM14:AM18" si="29">AH14/AH$11</f>
        <v>0.89363468976661653</v>
      </c>
      <c r="AN14" s="7">
        <f t="shared" ref="AN14:AN18" si="30">AI14/AI$11</f>
        <v>2.2043093727910912</v>
      </c>
      <c r="AO14" s="7">
        <f t="shared" ref="AO14:AO18" si="31">AJ14/AJ$11</f>
        <v>0.89010024272410604</v>
      </c>
      <c r="AP14" s="7">
        <f t="shared" ref="AP14:AP18" si="32">AK14/AK$11</f>
        <v>0.89196343924834576</v>
      </c>
    </row>
    <row r="15" spans="1:42" x14ac:dyDescent="0.5">
      <c r="A15" t="s">
        <v>240</v>
      </c>
      <c r="B15" t="s">
        <v>223</v>
      </c>
      <c r="C15" t="str">
        <f t="shared" si="6"/>
        <v>50/97/50/50/30/50</v>
      </c>
      <c r="D15">
        <v>50</v>
      </c>
      <c r="E15">
        <v>97</v>
      </c>
      <c r="F15">
        <v>50</v>
      </c>
      <c r="G15">
        <v>50</v>
      </c>
      <c r="H15">
        <v>30</v>
      </c>
      <c r="I15">
        <v>50</v>
      </c>
      <c r="J15" s="5">
        <v>5.1100000000000003</v>
      </c>
      <c r="K15">
        <v>0.2</v>
      </c>
      <c r="L15">
        <f>AVERAGE(L11:L14)</f>
        <v>100000</v>
      </c>
      <c r="M15">
        <f>AVERAGE(M11:M14)</f>
        <v>49967.34375</v>
      </c>
      <c r="N15">
        <f t="shared" si="20"/>
        <v>50032.65625</v>
      </c>
      <c r="O15">
        <f>AVERAGE(O11:O14)</f>
        <v>439384.140625</v>
      </c>
      <c r="P15" s="3">
        <f>AVERAGE(P11:P14)</f>
        <v>440231.1640625</v>
      </c>
      <c r="Q15" s="5">
        <f t="shared" si="0"/>
        <v>5.0065999999999997</v>
      </c>
      <c r="R15">
        <v>100132</v>
      </c>
      <c r="S15">
        <v>101660</v>
      </c>
      <c r="T15">
        <v>62869</v>
      </c>
      <c r="U15">
        <v>58524</v>
      </c>
      <c r="V15">
        <v>11460</v>
      </c>
      <c r="W15">
        <v>67094</v>
      </c>
      <c r="X15">
        <v>90713</v>
      </c>
      <c r="Y15">
        <v>1.69</v>
      </c>
      <c r="Z15">
        <v>0.26300000000000001</v>
      </c>
      <c r="AA15">
        <v>0.315</v>
      </c>
      <c r="AB15" s="2">
        <f t="shared" si="1"/>
        <v>0.49967343749999998</v>
      </c>
      <c r="AC15" s="5">
        <f t="shared" si="2"/>
        <v>4.4023116406250002</v>
      </c>
      <c r="AD15" s="4">
        <f t="shared" si="27"/>
        <v>-1.8883125000004553E-2</v>
      </c>
      <c r="AE15" s="4">
        <f t="shared" si="28"/>
        <v>-4.9270781250063678E-2</v>
      </c>
      <c r="AF15" s="5">
        <f t="shared" si="3"/>
        <v>4.9563032566086855</v>
      </c>
      <c r="AG15" s="3">
        <f t="shared" si="4"/>
        <v>462020.77799999999</v>
      </c>
      <c r="AH15" s="2">
        <f t="shared" si="21"/>
        <v>2.480407926588964E-2</v>
      </c>
      <c r="AI15" s="2">
        <f t="shared" si="22"/>
        <v>0.14521857716104708</v>
      </c>
      <c r="AJ15" s="2">
        <f t="shared" si="23"/>
        <v>0.19633965466375627</v>
      </c>
      <c r="AK15" s="2">
        <f t="shared" si="24"/>
        <v>0.195229314989812</v>
      </c>
      <c r="AL15" s="6">
        <f t="shared" si="25"/>
        <v>0.3461143972159007</v>
      </c>
      <c r="AM15" s="7">
        <f t="shared" si="29"/>
        <v>0.92337854107937212</v>
      </c>
      <c r="AN15" s="7">
        <f t="shared" si="30"/>
        <v>1.9287576649628848</v>
      </c>
      <c r="AO15" s="7">
        <f t="shared" si="31"/>
        <v>0.91812048118010714</v>
      </c>
      <c r="AP15" s="7">
        <f t="shared" si="32"/>
        <v>0.91459692847321694</v>
      </c>
    </row>
    <row r="16" spans="1:42" x14ac:dyDescent="0.5">
      <c r="A16" t="s">
        <v>240</v>
      </c>
      <c r="B16" t="s">
        <v>223</v>
      </c>
      <c r="C16" t="str">
        <f t="shared" si="6"/>
        <v>50/97/50/50/35/50</v>
      </c>
      <c r="D16">
        <v>50</v>
      </c>
      <c r="E16">
        <v>97</v>
      </c>
      <c r="F16">
        <v>50</v>
      </c>
      <c r="G16">
        <v>50</v>
      </c>
      <c r="H16">
        <v>35</v>
      </c>
      <c r="I16">
        <v>50</v>
      </c>
      <c r="J16" s="5">
        <v>4.75</v>
      </c>
      <c r="K16">
        <v>1.1000000000000001</v>
      </c>
      <c r="L16">
        <f>AVERAGE(L13:L15)</f>
        <v>100000</v>
      </c>
      <c r="M16">
        <f>AVERAGE(M13:M15)</f>
        <v>49960.15625</v>
      </c>
      <c r="N16">
        <f t="shared" si="20"/>
        <v>50039.84375</v>
      </c>
      <c r="O16">
        <f>AVERAGE(O13:O15)</f>
        <v>439366.109375</v>
      </c>
      <c r="P16" s="3">
        <f>AVERAGE(P13:P15)</f>
        <v>440258.79427083331</v>
      </c>
      <c r="Q16" s="5">
        <f t="shared" si="0"/>
        <v>5.1928999999999998</v>
      </c>
      <c r="R16">
        <v>103858</v>
      </c>
      <c r="S16">
        <v>106880</v>
      </c>
      <c r="T16">
        <v>60852</v>
      </c>
      <c r="U16">
        <v>56756</v>
      </c>
      <c r="V16">
        <v>12025</v>
      </c>
      <c r="W16">
        <v>57512</v>
      </c>
      <c r="X16">
        <v>94352</v>
      </c>
      <c r="Y16">
        <v>1.58</v>
      </c>
      <c r="Z16">
        <v>0.26500000000000001</v>
      </c>
      <c r="AA16">
        <v>0.317</v>
      </c>
      <c r="AB16" s="2">
        <f t="shared" si="1"/>
        <v>0.49960156249999998</v>
      </c>
      <c r="AC16" s="5">
        <f t="shared" si="2"/>
        <v>4.4025879427083332</v>
      </c>
      <c r="AD16" s="4">
        <f t="shared" si="27"/>
        <v>-3.0526875000004394E-2</v>
      </c>
      <c r="AE16" s="4">
        <f t="shared" si="28"/>
        <v>-9.4031718750002824E-2</v>
      </c>
      <c r="AF16" s="5">
        <f t="shared" si="3"/>
        <v>4.6196750102344417</v>
      </c>
      <c r="AG16" s="3">
        <f t="shared" si="4"/>
        <v>468580.45199999999</v>
      </c>
      <c r="AH16" s="2">
        <f t="shared" si="21"/>
        <v>2.5662615562972738E-2</v>
      </c>
      <c r="AI16" s="2">
        <f t="shared" si="22"/>
        <v>0.12273666081145015</v>
      </c>
      <c r="AJ16" s="2">
        <f t="shared" si="23"/>
        <v>0.20135709801227475</v>
      </c>
      <c r="AK16" s="2">
        <f t="shared" si="24"/>
        <v>0.20243055295016874</v>
      </c>
      <c r="AL16" s="6">
        <f t="shared" si="25"/>
        <v>0.33872754450114839</v>
      </c>
      <c r="AM16" s="7">
        <f t="shared" si="29"/>
        <v>0.95533917081959663</v>
      </c>
      <c r="AN16" s="7">
        <f t="shared" si="30"/>
        <v>1.6301583443384242</v>
      </c>
      <c r="AO16" s="7">
        <f t="shared" si="31"/>
        <v>0.94158297279610192</v>
      </c>
      <c r="AP16" s="7">
        <f t="shared" si="32"/>
        <v>0.94833279503654888</v>
      </c>
    </row>
    <row r="17" spans="1:42" x14ac:dyDescent="0.5">
      <c r="A17" t="s">
        <v>240</v>
      </c>
      <c r="B17" t="s">
        <v>223</v>
      </c>
      <c r="C17" t="str">
        <f t="shared" si="6"/>
        <v>50/97/50/50/40/50</v>
      </c>
      <c r="D17">
        <v>50</v>
      </c>
      <c r="E17">
        <v>97</v>
      </c>
      <c r="F17">
        <v>50</v>
      </c>
      <c r="G17">
        <v>50</v>
      </c>
      <c r="H17">
        <v>40</v>
      </c>
      <c r="I17">
        <v>50</v>
      </c>
      <c r="J17" s="5">
        <v>4.4000000000000004</v>
      </c>
      <c r="K17" s="4">
        <v>2</v>
      </c>
      <c r="L17">
        <f t="shared" ref="L17:M17" si="33">AVERAGE(L14:L16)</f>
        <v>100000</v>
      </c>
      <c r="M17">
        <f t="shared" si="33"/>
        <v>49954.458333333336</v>
      </c>
      <c r="N17">
        <f t="shared" si="20"/>
        <v>50045.541666666664</v>
      </c>
      <c r="O17">
        <f t="shared" ref="O17:P17" si="34">AVERAGE(O14:O16)</f>
        <v>439351.1875</v>
      </c>
      <c r="P17" s="3">
        <f t="shared" si="34"/>
        <v>440285.49652777775</v>
      </c>
      <c r="Q17" s="5">
        <f t="shared" si="0"/>
        <v>5.3802000000000003</v>
      </c>
      <c r="R17">
        <v>107604.2</v>
      </c>
      <c r="S17">
        <v>110927</v>
      </c>
      <c r="T17">
        <v>59384</v>
      </c>
      <c r="U17">
        <v>55104</v>
      </c>
      <c r="V17">
        <v>12429</v>
      </c>
      <c r="W17">
        <v>48239</v>
      </c>
      <c r="X17">
        <v>98094</v>
      </c>
      <c r="Y17">
        <v>1.48</v>
      </c>
      <c r="Z17">
        <v>0.26500000000000001</v>
      </c>
      <c r="AA17">
        <v>0.317</v>
      </c>
      <c r="AB17" s="2">
        <f t="shared" si="1"/>
        <v>0.49954458333333335</v>
      </c>
      <c r="AC17" s="5">
        <f t="shared" si="2"/>
        <v>4.4028549652777773</v>
      </c>
      <c r="AD17" s="4">
        <f t="shared" si="27"/>
        <v>-3.9757499999999668E-2</v>
      </c>
      <c r="AE17" s="4">
        <f t="shared" si="28"/>
        <v>-0.13728937499994842</v>
      </c>
      <c r="AF17" s="5">
        <f t="shared" si="3"/>
        <v>4.2934189757275734</v>
      </c>
      <c r="AG17" s="3">
        <f t="shared" si="4"/>
        <v>474338.16759999993</v>
      </c>
      <c r="AH17" s="2">
        <f t="shared" si="21"/>
        <v>2.6202825007497883E-2</v>
      </c>
      <c r="AI17" s="2">
        <f t="shared" si="22"/>
        <v>0.10169748777348864</v>
      </c>
      <c r="AJ17" s="2">
        <f t="shared" si="23"/>
        <v>0.20680182768408539</v>
      </c>
      <c r="AK17" s="2">
        <f t="shared" si="24"/>
        <v>0.20765354071836242</v>
      </c>
      <c r="AL17" s="6">
        <f t="shared" si="25"/>
        <v>0.32980115315970027</v>
      </c>
      <c r="AM17" s="7">
        <f t="shared" si="29"/>
        <v>0.97544948426505063</v>
      </c>
      <c r="AN17" s="7">
        <f t="shared" si="30"/>
        <v>1.350721187916996</v>
      </c>
      <c r="AO17" s="7">
        <f t="shared" si="31"/>
        <v>0.96704353416226785</v>
      </c>
      <c r="AP17" s="7">
        <f t="shared" si="32"/>
        <v>0.97280109054069697</v>
      </c>
    </row>
    <row r="18" spans="1:42" x14ac:dyDescent="0.5">
      <c r="A18" t="s">
        <v>240</v>
      </c>
      <c r="B18" t="s">
        <v>223</v>
      </c>
      <c r="C18" t="str">
        <f t="shared" si="6"/>
        <v>50/97/50/50/45/50</v>
      </c>
      <c r="D18">
        <v>50</v>
      </c>
      <c r="E18">
        <v>97</v>
      </c>
      <c r="F18">
        <v>50</v>
      </c>
      <c r="G18">
        <v>50</v>
      </c>
      <c r="H18">
        <v>45</v>
      </c>
      <c r="I18">
        <v>50</v>
      </c>
      <c r="J18" s="5">
        <v>4.17</v>
      </c>
      <c r="K18">
        <v>2.6</v>
      </c>
      <c r="L18">
        <f t="shared" ref="L18:M18" si="35">AVERAGE(L15:L17)</f>
        <v>100000</v>
      </c>
      <c r="M18">
        <f t="shared" si="35"/>
        <v>49960.652777777781</v>
      </c>
      <c r="N18">
        <f t="shared" si="20"/>
        <v>50039.347222222219</v>
      </c>
      <c r="O18">
        <f t="shared" ref="O18:P18" si="36">AVERAGE(O15:O17)</f>
        <v>439367.14583333331</v>
      </c>
      <c r="P18" s="3">
        <f t="shared" si="36"/>
        <v>440258.48495370365</v>
      </c>
      <c r="Q18" s="5">
        <f t="shared" si="0"/>
        <v>5.5361000000000002</v>
      </c>
      <c r="R18">
        <v>110722</v>
      </c>
      <c r="S18">
        <v>113307</v>
      </c>
      <c r="T18">
        <v>57505</v>
      </c>
      <c r="U18">
        <v>53415</v>
      </c>
      <c r="V18">
        <v>12726</v>
      </c>
      <c r="W18">
        <v>41631</v>
      </c>
      <c r="X18">
        <v>101087</v>
      </c>
      <c r="Y18">
        <v>1.4</v>
      </c>
      <c r="Z18">
        <v>0.26300000000000001</v>
      </c>
      <c r="AA18">
        <v>0.314</v>
      </c>
      <c r="AB18" s="2">
        <f t="shared" si="1"/>
        <v>0.49960652777777781</v>
      </c>
      <c r="AC18" s="5">
        <f t="shared" si="2"/>
        <v>4.4025848495370363</v>
      </c>
      <c r="AD18" s="4">
        <f t="shared" si="27"/>
        <v>-2.9722499999996876E-2</v>
      </c>
      <c r="AE18" s="4">
        <f t="shared" si="28"/>
        <v>-9.3530624999909051E-2</v>
      </c>
      <c r="AF18" s="5">
        <f t="shared" si="3"/>
        <v>4.0663702508301673</v>
      </c>
      <c r="AG18" s="3">
        <f t="shared" si="4"/>
        <v>479247.31400000001</v>
      </c>
      <c r="AH18" s="2">
        <f t="shared" si="21"/>
        <v>2.6554139435406413E-2</v>
      </c>
      <c r="AI18" s="2">
        <f t="shared" si="22"/>
        <v>8.6867466512290145E-2</v>
      </c>
      <c r="AJ18" s="2">
        <f t="shared" si="23"/>
        <v>0.21092867303999119</v>
      </c>
      <c r="AK18" s="2">
        <f t="shared" si="24"/>
        <v>0.20987285074277953</v>
      </c>
      <c r="AL18" s="6">
        <f t="shared" si="25"/>
        <v>0.32200471806625386</v>
      </c>
      <c r="AM18" s="7">
        <f t="shared" si="29"/>
        <v>0.98852782514700466</v>
      </c>
      <c r="AN18" s="7">
        <f t="shared" si="30"/>
        <v>1.1537524684991085</v>
      </c>
      <c r="AO18" s="7">
        <f t="shared" si="31"/>
        <v>0.98634142510747158</v>
      </c>
      <c r="AP18" s="7">
        <f t="shared" si="32"/>
        <v>0.9831979621978435</v>
      </c>
    </row>
    <row r="19" spans="1:42" x14ac:dyDescent="0.5">
      <c r="A19" t="s">
        <v>240</v>
      </c>
      <c r="B19" t="s">
        <v>223</v>
      </c>
      <c r="C19" t="str">
        <f t="shared" si="6"/>
        <v>50/97/50/50/55/50</v>
      </c>
      <c r="D19">
        <v>50</v>
      </c>
      <c r="E19">
        <v>97</v>
      </c>
      <c r="F19">
        <v>50</v>
      </c>
      <c r="G19">
        <v>50</v>
      </c>
      <c r="H19">
        <v>55</v>
      </c>
      <c r="I19">
        <v>50</v>
      </c>
      <c r="J19" s="5">
        <v>3.92</v>
      </c>
      <c r="K19">
        <v>3.4</v>
      </c>
      <c r="L19">
        <f t="shared" ref="L19:M19" si="37">AVERAGE(L16:L18)</f>
        <v>100000</v>
      </c>
      <c r="M19">
        <f t="shared" si="37"/>
        <v>49958.422453703708</v>
      </c>
      <c r="N19">
        <f t="shared" si="20"/>
        <v>50041.577546296292</v>
      </c>
      <c r="O19">
        <f t="shared" ref="O19:P19" si="38">AVERAGE(O16:O18)</f>
        <v>439361.48090277775</v>
      </c>
      <c r="P19" s="3">
        <f t="shared" si="38"/>
        <v>440267.5919174382</v>
      </c>
      <c r="Q19" s="5">
        <f t="shared" si="0"/>
        <v>5.69285</v>
      </c>
      <c r="R19">
        <v>113857.1</v>
      </c>
      <c r="S19">
        <v>117721</v>
      </c>
      <c r="T19">
        <v>56687</v>
      </c>
      <c r="U19">
        <v>52754</v>
      </c>
      <c r="V19">
        <v>13187</v>
      </c>
      <c r="W19">
        <v>33990</v>
      </c>
      <c r="X19">
        <v>104233</v>
      </c>
      <c r="Y19">
        <v>1.33</v>
      </c>
      <c r="Z19">
        <v>0.26400000000000001</v>
      </c>
      <c r="AA19">
        <v>0.316</v>
      </c>
      <c r="AB19" s="2">
        <f t="shared" si="1"/>
        <v>0.4995842245370371</v>
      </c>
      <c r="AC19" s="5">
        <f t="shared" si="2"/>
        <v>4.4026759191743823</v>
      </c>
      <c r="AD19" s="4">
        <f t="shared" ref="AD19:AD23" si="39">(AB19-AB$11)*162</f>
        <v>-3.333562499999132E-2</v>
      </c>
      <c r="AE19" s="4">
        <f t="shared" ref="AE19:AE23" si="40">-(AC19-AC$11)*162</f>
        <v>-0.10828390624995343</v>
      </c>
      <c r="AF19" s="5">
        <f t="shared" si="3"/>
        <v>3.8404891183751642</v>
      </c>
      <c r="AG19" s="3">
        <f t="shared" si="4"/>
        <v>485212.79780000006</v>
      </c>
      <c r="AH19" s="2">
        <f t="shared" ref="AH19:AH23" si="41">V19/$AG19</f>
        <v>2.7177766249759042E-2</v>
      </c>
      <c r="AI19" s="2">
        <f t="shared" ref="AI19:AI23" si="42">W19/$AG19</f>
        <v>7.0051738441594735E-2</v>
      </c>
      <c r="AJ19" s="2">
        <f t="shared" ref="AJ19:AJ23" si="43">X19/$AG19</f>
        <v>0.21481914836665916</v>
      </c>
      <c r="AK19" s="2">
        <f t="shared" ref="AK19:AK23" si="44">(S19-V19)/$AG19</f>
        <v>0.21543949474120813</v>
      </c>
      <c r="AL19" s="6">
        <f t="shared" ref="AL19:AL23" si="45">SUMPRODUCT($AH$4:$AK$4,AH19:AK19)</f>
        <v>0.31662193581626275</v>
      </c>
      <c r="AM19" s="7">
        <f t="shared" ref="AM19:AM23" si="46">AH19/AH$11</f>
        <v>1.0117435072064795</v>
      </c>
      <c r="AN19" s="7">
        <f t="shared" ref="AN19:AN23" si="47">AI19/AI$11</f>
        <v>0.93041007634554351</v>
      </c>
      <c r="AO19" s="7">
        <f t="shared" ref="AO19:AO23" si="48">AJ19/AJ$11</f>
        <v>1.0045340061479999</v>
      </c>
      <c r="AP19" s="7">
        <f t="shared" ref="AP19:AP23" si="49">AK19/AK$11</f>
        <v>1.0092761948809441</v>
      </c>
    </row>
    <row r="20" spans="1:42" x14ac:dyDescent="0.5">
      <c r="A20" t="s">
        <v>240</v>
      </c>
      <c r="B20" t="s">
        <v>223</v>
      </c>
      <c r="C20" t="str">
        <f t="shared" si="6"/>
        <v>50/97/50/50/60/50</v>
      </c>
      <c r="D20">
        <v>50</v>
      </c>
      <c r="E20">
        <v>97</v>
      </c>
      <c r="F20">
        <v>50</v>
      </c>
      <c r="G20">
        <v>50</v>
      </c>
      <c r="H20">
        <v>60</v>
      </c>
      <c r="I20">
        <v>50</v>
      </c>
      <c r="J20" s="5">
        <v>3.84</v>
      </c>
      <c r="K20">
        <v>3.6</v>
      </c>
      <c r="L20">
        <f t="shared" ref="L20:L47" si="50">AVERAGE(L17:L19)</f>
        <v>100000</v>
      </c>
      <c r="M20">
        <v>50315</v>
      </c>
      <c r="N20">
        <f t="shared" si="7"/>
        <v>49685</v>
      </c>
      <c r="O20">
        <v>440510</v>
      </c>
      <c r="P20">
        <v>438558</v>
      </c>
      <c r="Q20" s="5">
        <f t="shared" si="0"/>
        <v>5.7766500000000001</v>
      </c>
      <c r="R20">
        <v>115533</v>
      </c>
      <c r="S20">
        <v>118564</v>
      </c>
      <c r="T20">
        <v>55824</v>
      </c>
      <c r="U20">
        <v>51864</v>
      </c>
      <c r="V20">
        <v>13457</v>
      </c>
      <c r="W20">
        <v>31167</v>
      </c>
      <c r="X20">
        <v>105268</v>
      </c>
      <c r="Y20">
        <v>1.3</v>
      </c>
      <c r="Z20">
        <v>0.26300000000000001</v>
      </c>
      <c r="AA20">
        <v>0.313</v>
      </c>
      <c r="AB20" s="2">
        <f t="shared" si="1"/>
        <v>0.50314999999999999</v>
      </c>
      <c r="AC20" s="5">
        <f t="shared" si="2"/>
        <v>4.38558</v>
      </c>
      <c r="AD20" s="4">
        <f t="shared" si="39"/>
        <v>0.54431999999999581</v>
      </c>
      <c r="AE20" s="4">
        <f t="shared" si="40"/>
        <v>2.6612549999999704</v>
      </c>
      <c r="AF20" s="5">
        <f t="shared" si="3"/>
        <v>3.7713764011111479</v>
      </c>
      <c r="AG20" s="3">
        <f t="shared" si="4"/>
        <v>488124.74599999998</v>
      </c>
      <c r="AH20" s="2">
        <f t="shared" si="41"/>
        <v>2.7568772348206254E-2</v>
      </c>
      <c r="AI20" s="2">
        <f t="shared" si="42"/>
        <v>6.385048136854754E-2</v>
      </c>
      <c r="AJ20" s="2">
        <f t="shared" si="43"/>
        <v>0.21565798673931602</v>
      </c>
      <c r="AK20" s="2">
        <f t="shared" si="44"/>
        <v>0.21532815302094929</v>
      </c>
      <c r="AL20" s="6">
        <f t="shared" si="45"/>
        <v>0.31280931447427779</v>
      </c>
      <c r="AM20" s="7">
        <f t="shared" si="46"/>
        <v>1.026299445238569</v>
      </c>
      <c r="AN20" s="7">
        <f t="shared" si="47"/>
        <v>0.84804649486808092</v>
      </c>
      <c r="AO20" s="7">
        <f t="shared" si="48"/>
        <v>1.0084565692779748</v>
      </c>
      <c r="AP20" s="7">
        <f t="shared" si="49"/>
        <v>1.0087545888128955</v>
      </c>
    </row>
    <row r="21" spans="1:42" x14ac:dyDescent="0.5">
      <c r="A21" t="s">
        <v>240</v>
      </c>
      <c r="B21" t="s">
        <v>223</v>
      </c>
      <c r="C21" t="str">
        <f t="shared" si="6"/>
        <v>50/97/50/50/70/50</v>
      </c>
      <c r="D21">
        <v>50</v>
      </c>
      <c r="E21">
        <v>97</v>
      </c>
      <c r="F21">
        <v>50</v>
      </c>
      <c r="G21">
        <v>50</v>
      </c>
      <c r="H21">
        <v>70</v>
      </c>
      <c r="I21">
        <v>50</v>
      </c>
      <c r="J21" s="5">
        <v>3.69</v>
      </c>
      <c r="K21" s="4">
        <v>4</v>
      </c>
      <c r="L21">
        <f t="shared" si="50"/>
        <v>100000</v>
      </c>
      <c r="M21">
        <v>50497</v>
      </c>
      <c r="N21">
        <f t="shared" si="7"/>
        <v>49503</v>
      </c>
      <c r="O21">
        <v>437892</v>
      </c>
      <c r="P21">
        <v>433644</v>
      </c>
      <c r="Q21" s="5">
        <f t="shared" si="0"/>
        <v>5.8842499999999998</v>
      </c>
      <c r="R21">
        <v>117685.1</v>
      </c>
      <c r="S21">
        <v>120385</v>
      </c>
      <c r="T21">
        <v>54923</v>
      </c>
      <c r="U21">
        <v>51169</v>
      </c>
      <c r="V21">
        <v>13811</v>
      </c>
      <c r="W21">
        <v>26178</v>
      </c>
      <c r="X21">
        <v>108474</v>
      </c>
      <c r="Y21">
        <v>1.25</v>
      </c>
      <c r="Z21">
        <v>0.26100000000000001</v>
      </c>
      <c r="AA21">
        <v>0.313</v>
      </c>
      <c r="AB21" s="2">
        <f t="shared" si="1"/>
        <v>0.50497000000000003</v>
      </c>
      <c r="AC21" s="5">
        <f t="shared" si="2"/>
        <v>4.3364399999999996</v>
      </c>
      <c r="AD21" s="4">
        <f t="shared" si="39"/>
        <v>0.8391600000000029</v>
      </c>
      <c r="AE21" s="4">
        <f t="shared" si="40"/>
        <v>10.621935000000036</v>
      </c>
      <c r="AF21" s="5">
        <f t="shared" si="3"/>
        <v>3.6196524484003261</v>
      </c>
      <c r="AG21" s="3">
        <f t="shared" si="4"/>
        <v>491302.53580000007</v>
      </c>
      <c r="AH21" s="2">
        <f t="shared" si="41"/>
        <v>2.8110988634551227E-2</v>
      </c>
      <c r="AI21" s="2">
        <f t="shared" si="42"/>
        <v>5.3282851384786188E-2</v>
      </c>
      <c r="AJ21" s="2">
        <f t="shared" si="43"/>
        <v>0.22078860192196872</v>
      </c>
      <c r="AK21" s="2">
        <f t="shared" si="44"/>
        <v>0.21692133102155259</v>
      </c>
      <c r="AL21" s="6">
        <f t="shared" si="45"/>
        <v>0.30783447110608103</v>
      </c>
      <c r="AM21" s="7">
        <f t="shared" si="46"/>
        <v>1.0464844671483811</v>
      </c>
      <c r="AN21" s="7">
        <f t="shared" si="47"/>
        <v>0.70768981509516682</v>
      </c>
      <c r="AO21" s="7">
        <f t="shared" si="48"/>
        <v>1.0324482732886298</v>
      </c>
      <c r="AP21" s="7">
        <f t="shared" si="49"/>
        <v>1.0162182000330595</v>
      </c>
    </row>
    <row r="22" spans="1:42" x14ac:dyDescent="0.5">
      <c r="A22" t="s">
        <v>240</v>
      </c>
      <c r="B22" t="s">
        <v>223</v>
      </c>
      <c r="C22">
        <v>80</v>
      </c>
      <c r="D22">
        <v>80</v>
      </c>
      <c r="E22">
        <v>80</v>
      </c>
      <c r="F22">
        <v>80</v>
      </c>
      <c r="G22">
        <v>50</v>
      </c>
      <c r="I22">
        <v>50</v>
      </c>
      <c r="J22" s="5"/>
      <c r="K22" s="4"/>
      <c r="L22">
        <f t="shared" si="50"/>
        <v>100000</v>
      </c>
      <c r="M22">
        <v>50498</v>
      </c>
      <c r="N22">
        <f t="shared" ref="N22" si="51">L22-M22</f>
        <v>49502</v>
      </c>
      <c r="O22">
        <v>437892</v>
      </c>
      <c r="P22">
        <v>433644</v>
      </c>
      <c r="Q22" s="5"/>
      <c r="AB22" s="2"/>
      <c r="AC22" s="5"/>
      <c r="AD22" s="4"/>
      <c r="AE22" s="4"/>
      <c r="AF22" s="5"/>
      <c r="AG22" s="3"/>
      <c r="AH22" s="2"/>
      <c r="AI22" s="2"/>
      <c r="AJ22" s="2"/>
      <c r="AK22" s="2"/>
      <c r="AL22" s="6"/>
      <c r="AM22" s="7"/>
      <c r="AN22" s="7"/>
      <c r="AO22" s="7"/>
      <c r="AP22" s="7"/>
    </row>
    <row r="23" spans="1:42" x14ac:dyDescent="0.5">
      <c r="A23" t="s">
        <v>240</v>
      </c>
      <c r="B23" t="s">
        <v>223</v>
      </c>
      <c r="C23" t="str">
        <f t="shared" si="6"/>
        <v>50/97/50/50/80/50</v>
      </c>
      <c r="D23">
        <v>50</v>
      </c>
      <c r="E23">
        <v>97</v>
      </c>
      <c r="F23">
        <v>50</v>
      </c>
      <c r="G23">
        <v>50</v>
      </c>
      <c r="H23">
        <v>80</v>
      </c>
      <c r="I23">
        <v>50</v>
      </c>
      <c r="J23" s="5">
        <v>3.53</v>
      </c>
      <c r="K23">
        <v>4.5</v>
      </c>
      <c r="L23">
        <f>AVERAGE(L19:L21)</f>
        <v>100000</v>
      </c>
      <c r="M23">
        <v>50552</v>
      </c>
      <c r="N23">
        <f t="shared" si="7"/>
        <v>49448</v>
      </c>
      <c r="O23">
        <v>437833</v>
      </c>
      <c r="P23">
        <v>433920</v>
      </c>
      <c r="Q23" s="5">
        <f t="shared" si="0"/>
        <v>6.0118499999999999</v>
      </c>
      <c r="R23">
        <v>120237.1</v>
      </c>
      <c r="S23">
        <v>123926</v>
      </c>
      <c r="T23">
        <v>54500</v>
      </c>
      <c r="U23">
        <v>50861</v>
      </c>
      <c r="V23">
        <v>14213</v>
      </c>
      <c r="W23">
        <v>20259</v>
      </c>
      <c r="X23">
        <v>110897</v>
      </c>
      <c r="Y23">
        <v>1.2</v>
      </c>
      <c r="Z23">
        <v>0.26200000000000001</v>
      </c>
      <c r="AA23">
        <v>0.314</v>
      </c>
      <c r="AB23" s="2">
        <f t="shared" si="1"/>
        <v>0.50551999999999997</v>
      </c>
      <c r="AC23" s="5">
        <f t="shared" si="2"/>
        <v>4.3391999999999999</v>
      </c>
      <c r="AD23" s="4">
        <f t="shared" si="39"/>
        <v>0.92825999999999309</v>
      </c>
      <c r="AE23" s="4">
        <f t="shared" si="40"/>
        <v>10.174814999999985</v>
      </c>
      <c r="AF23" s="5">
        <f t="shared" si="3"/>
        <v>3.4677119751354626</v>
      </c>
      <c r="AG23" s="3">
        <f t="shared" si="4"/>
        <v>496402.61380000005</v>
      </c>
      <c r="AH23" s="2">
        <f t="shared" si="41"/>
        <v>2.8632000728598901E-2</v>
      </c>
      <c r="AI23" s="2">
        <f t="shared" si="42"/>
        <v>4.0811630391942945E-2</v>
      </c>
      <c r="AJ23" s="2">
        <f t="shared" si="43"/>
        <v>0.22340132166322607</v>
      </c>
      <c r="AK23" s="2">
        <f t="shared" si="44"/>
        <v>0.2210161609749364</v>
      </c>
      <c r="AL23" s="6">
        <f t="shared" si="45"/>
        <v>0.30392320242490045</v>
      </c>
      <c r="AM23" s="7">
        <f t="shared" si="46"/>
        <v>1.0658801230858317</v>
      </c>
      <c r="AN23" s="7">
        <f t="shared" si="47"/>
        <v>0.54205010458680214</v>
      </c>
      <c r="AO23" s="7">
        <f t="shared" si="48"/>
        <v>1.0446658332621361</v>
      </c>
      <c r="AP23" s="7">
        <f t="shared" si="49"/>
        <v>1.0354013790458034</v>
      </c>
    </row>
    <row r="24" spans="1:42" x14ac:dyDescent="0.5">
      <c r="A24" t="s">
        <v>240</v>
      </c>
      <c r="B24" t="s">
        <v>220</v>
      </c>
      <c r="C24" t="str">
        <f t="shared" si="6"/>
        <v>50/97/20/50/50/50</v>
      </c>
      <c r="D24">
        <v>50</v>
      </c>
      <c r="E24">
        <v>97</v>
      </c>
      <c r="F24">
        <v>20</v>
      </c>
      <c r="G24">
        <v>50</v>
      </c>
      <c r="H24">
        <v>50</v>
      </c>
      <c r="I24">
        <v>50</v>
      </c>
      <c r="J24" s="5">
        <v>7.6</v>
      </c>
      <c r="K24">
        <v>-4.8</v>
      </c>
      <c r="L24">
        <f>AVERAGE(L20:L23)</f>
        <v>100000</v>
      </c>
      <c r="M24">
        <v>46290</v>
      </c>
      <c r="N24">
        <f t="shared" si="7"/>
        <v>53710</v>
      </c>
      <c r="O24">
        <v>439261</v>
      </c>
      <c r="P24">
        <v>476876</v>
      </c>
      <c r="Q24" s="5">
        <f t="shared" si="0"/>
        <v>4.6927500000000002</v>
      </c>
      <c r="R24">
        <v>93855</v>
      </c>
      <c r="S24">
        <v>123443</v>
      </c>
      <c r="T24">
        <v>87487</v>
      </c>
      <c r="U24">
        <v>83687</v>
      </c>
      <c r="V24">
        <v>41667</v>
      </c>
      <c r="W24">
        <v>32029</v>
      </c>
      <c r="X24">
        <v>93274</v>
      </c>
      <c r="Y24">
        <v>1.66</v>
      </c>
      <c r="Z24">
        <v>0.313</v>
      </c>
      <c r="AA24">
        <v>0.313</v>
      </c>
      <c r="AB24" s="2">
        <f t="shared" si="1"/>
        <v>0.46289999999999998</v>
      </c>
      <c r="AC24" s="5">
        <f t="shared" si="2"/>
        <v>4.7687600000000003</v>
      </c>
      <c r="AD24" s="4">
        <f t="shared" ref="AD24" si="52">(AB24-AB$11)*162</f>
        <v>-5.9761800000000056</v>
      </c>
      <c r="AE24" s="4">
        <f t="shared" ref="AE24" si="53">-(AC24-AC$11)*162</f>
        <v>-59.413905000000078</v>
      </c>
      <c r="AF24" s="5">
        <f t="shared" si="3"/>
        <v>8.0776911956441779</v>
      </c>
      <c r="AG24" s="3">
        <f t="shared" si="4"/>
        <v>430635.10600000003</v>
      </c>
      <c r="AH24" s="2">
        <f t="shared" ref="AH24" si="54">V24/$AG24</f>
        <v>9.6757090677135824E-2</v>
      </c>
      <c r="AI24" s="2">
        <f t="shared" ref="AI24" si="55">W24/$AG24</f>
        <v>7.4376193565603071E-2</v>
      </c>
      <c r="AJ24" s="2">
        <f t="shared" ref="AJ24" si="56">X24/$AG24</f>
        <v>0.21659636824871401</v>
      </c>
      <c r="AK24" s="2">
        <f t="shared" ref="AK24" si="57">(S24-V24)/$AG24</f>
        <v>0.18989626916296973</v>
      </c>
      <c r="AL24" s="6">
        <f t="shared" ref="AL24" si="58">SUMPRODUCT($AH$4:$AK$4,AH24:AK24)</f>
        <v>0.4301389405553665</v>
      </c>
      <c r="AM24" s="7">
        <f t="shared" ref="AM24" si="59">AH24/AH$11</f>
        <v>3.6019648329136937</v>
      </c>
      <c r="AN24" s="7">
        <f t="shared" ref="AN24" si="60">AI24/AI$11</f>
        <v>0.98784643283848128</v>
      </c>
      <c r="AO24" s="7">
        <f t="shared" ref="AO24" si="61">AJ24/AJ$11</f>
        <v>1.0128446144969319</v>
      </c>
      <c r="AP24" s="7">
        <f t="shared" ref="AP24" si="62">AK24/AK$11</f>
        <v>0.88961304051104595</v>
      </c>
    </row>
    <row r="25" spans="1:42" hidden="1" x14ac:dyDescent="0.5">
      <c r="A25" t="s">
        <v>110</v>
      </c>
      <c r="B25" t="s">
        <v>220</v>
      </c>
      <c r="C25">
        <v>80</v>
      </c>
      <c r="D25">
        <v>80</v>
      </c>
      <c r="E25">
        <v>80</v>
      </c>
      <c r="F25">
        <v>80</v>
      </c>
      <c r="G25">
        <v>100000</v>
      </c>
      <c r="H25">
        <v>51724</v>
      </c>
      <c r="I25">
        <v>50</v>
      </c>
      <c r="J25" s="5">
        <v>415854</v>
      </c>
      <c r="K25">
        <v>400604</v>
      </c>
      <c r="L25">
        <f>AVERAGE(L21:L24)</f>
        <v>100000</v>
      </c>
      <c r="M25">
        <v>46291</v>
      </c>
      <c r="N25">
        <f t="shared" ref="N25" si="63">L25-M25</f>
        <v>53709</v>
      </c>
      <c r="O25">
        <v>439261</v>
      </c>
      <c r="P25">
        <v>476876</v>
      </c>
      <c r="Q25" s="5"/>
      <c r="AB25" s="2"/>
      <c r="AC25" s="5"/>
      <c r="AD25" s="4"/>
      <c r="AE25" s="4"/>
      <c r="AF25" s="5"/>
      <c r="AG25" s="3"/>
      <c r="AH25" s="2"/>
      <c r="AI25" s="2"/>
      <c r="AJ25" s="2"/>
      <c r="AK25" s="2"/>
      <c r="AL25" s="6"/>
      <c r="AM25" s="7"/>
      <c r="AN25" s="7"/>
      <c r="AO25" s="7"/>
      <c r="AP25" s="7"/>
    </row>
    <row r="26" spans="1:42" x14ac:dyDescent="0.5">
      <c r="A26" t="s">
        <v>240</v>
      </c>
      <c r="B26" t="s">
        <v>220</v>
      </c>
      <c r="C26" t="str">
        <f t="shared" si="6"/>
        <v>50/97/25/50/50/50</v>
      </c>
      <c r="D26">
        <v>50</v>
      </c>
      <c r="E26">
        <v>97</v>
      </c>
      <c r="F26">
        <v>25</v>
      </c>
      <c r="G26">
        <v>50</v>
      </c>
      <c r="H26">
        <v>50</v>
      </c>
      <c r="I26">
        <v>50</v>
      </c>
      <c r="J26" s="5">
        <v>6.03</v>
      </c>
      <c r="K26">
        <v>-1.9</v>
      </c>
      <c r="L26">
        <f>AVERAGE(L21:L24)</f>
        <v>100000</v>
      </c>
      <c r="M26">
        <v>47427</v>
      </c>
      <c r="N26">
        <f t="shared" si="7"/>
        <v>52573</v>
      </c>
      <c r="O26">
        <v>436677</v>
      </c>
      <c r="P26">
        <v>463389</v>
      </c>
      <c r="Q26" s="5">
        <f t="shared" si="0"/>
        <v>5.0561999999999996</v>
      </c>
      <c r="R26">
        <v>101124</v>
      </c>
      <c r="S26">
        <v>121787</v>
      </c>
      <c r="T26">
        <v>77951</v>
      </c>
      <c r="U26">
        <v>73942</v>
      </c>
      <c r="V26">
        <v>31990</v>
      </c>
      <c r="W26">
        <v>33825</v>
      </c>
      <c r="X26">
        <v>97092</v>
      </c>
      <c r="Y26">
        <v>1.54</v>
      </c>
      <c r="Z26">
        <v>0.29399999999999998</v>
      </c>
      <c r="AA26">
        <v>0.314</v>
      </c>
      <c r="AB26" s="2">
        <f t="shared" si="1"/>
        <v>0.47427000000000002</v>
      </c>
      <c r="AC26" s="5">
        <f t="shared" si="2"/>
        <v>4.6338900000000001</v>
      </c>
      <c r="AD26" s="4">
        <f t="shared" ref="AD26:AD34" si="64">(AB26-AB$11)*162</f>
        <v>-4.1342399999999984</v>
      </c>
      <c r="AE26" s="4">
        <f t="shared" ref="AE26:AE34" si="65">-(AC26-AC$11)*162</f>
        <v>-37.564965000000036</v>
      </c>
      <c r="AF26" s="5">
        <f t="shared" si="3"/>
        <v>6.4658593933487412</v>
      </c>
      <c r="AG26" s="3">
        <f t="shared" si="4"/>
        <v>451970.48</v>
      </c>
      <c r="AH26" s="2">
        <f t="shared" ref="AH26:AH34" si="66">V26/$AG26</f>
        <v>7.0778958838196696E-2</v>
      </c>
      <c r="AI26" s="2">
        <f t="shared" ref="AI26:AI34" si="67">W26/$AG26</f>
        <v>7.4838958508971654E-2</v>
      </c>
      <c r="AJ26" s="2">
        <f t="shared" ref="AJ26:AJ34" si="68">X26/$AG26</f>
        <v>0.2148193395285462</v>
      </c>
      <c r="AK26" s="2">
        <f t="shared" ref="AK26:AK34" si="69">(S26-V26)/$AG26</f>
        <v>0.19867890487007028</v>
      </c>
      <c r="AL26" s="6">
        <f t="shared" ref="AL26:AL34" si="70">SUMPRODUCT($AH$4:$AK$4,AH26:AK26)</f>
        <v>0.38850562682396605</v>
      </c>
      <c r="AM26" s="7">
        <f t="shared" ref="AM26:AM34" si="71">AH26/AH$11</f>
        <v>2.6348799748034875</v>
      </c>
      <c r="AN26" s="7">
        <f t="shared" ref="AN26:AN34" si="72">AI26/AI$11</f>
        <v>0.9939927637628535</v>
      </c>
      <c r="AO26" s="7">
        <f t="shared" ref="AO26:AO34" si="73">AJ26/AJ$11</f>
        <v>1.0045349000562835</v>
      </c>
      <c r="AP26" s="7">
        <f t="shared" ref="AP26:AP34" si="74">AK26/AK$11</f>
        <v>0.930757330967797</v>
      </c>
    </row>
    <row r="27" spans="1:42" x14ac:dyDescent="0.5">
      <c r="A27" t="s">
        <v>240</v>
      </c>
      <c r="B27" t="s">
        <v>220</v>
      </c>
      <c r="C27" t="str">
        <f t="shared" si="6"/>
        <v>50/97/30/50/50/50</v>
      </c>
      <c r="D27">
        <v>50</v>
      </c>
      <c r="E27">
        <v>97</v>
      </c>
      <c r="F27">
        <v>30</v>
      </c>
      <c r="G27">
        <v>50</v>
      </c>
      <c r="H27">
        <v>50</v>
      </c>
      <c r="I27">
        <v>50</v>
      </c>
      <c r="J27" s="5">
        <v>5.47</v>
      </c>
      <c r="K27">
        <v>-0.6</v>
      </c>
      <c r="L27">
        <f>AVERAGE(L23:L26)</f>
        <v>100000</v>
      </c>
      <c r="M27">
        <v>47998</v>
      </c>
      <c r="N27">
        <f t="shared" si="7"/>
        <v>52002</v>
      </c>
      <c r="O27">
        <v>438622</v>
      </c>
      <c r="P27">
        <v>457778</v>
      </c>
      <c r="Q27" s="5">
        <f t="shared" si="0"/>
        <v>5.2091500000000002</v>
      </c>
      <c r="R27">
        <v>104183.1</v>
      </c>
      <c r="S27">
        <v>120727</v>
      </c>
      <c r="T27">
        <v>72932</v>
      </c>
      <c r="U27">
        <v>68959</v>
      </c>
      <c r="V27">
        <v>27509</v>
      </c>
      <c r="W27">
        <v>34811</v>
      </c>
      <c r="X27">
        <v>99259</v>
      </c>
      <c r="Y27">
        <v>1.49</v>
      </c>
      <c r="Z27">
        <v>0.28699999999999998</v>
      </c>
      <c r="AA27">
        <v>0.315</v>
      </c>
      <c r="AB27" s="2">
        <f t="shared" si="1"/>
        <v>0.47998000000000002</v>
      </c>
      <c r="AC27" s="5">
        <f t="shared" si="2"/>
        <v>4.5777799999999997</v>
      </c>
      <c r="AD27" s="4">
        <f t="shared" si="64"/>
        <v>-3.2092199999999993</v>
      </c>
      <c r="AE27" s="4">
        <f t="shared" si="65"/>
        <v>-28.475144999999983</v>
      </c>
      <c r="AF27" s="5">
        <f t="shared" si="3"/>
        <v>5.7996770986833539</v>
      </c>
      <c r="AG27" s="3">
        <f t="shared" si="4"/>
        <v>460835.42980000004</v>
      </c>
      <c r="AH27" s="2">
        <f t="shared" si="66"/>
        <v>5.9693760985214936E-2</v>
      </c>
      <c r="AI27" s="2">
        <f t="shared" si="67"/>
        <v>7.5538896857621773E-2</v>
      </c>
      <c r="AJ27" s="2">
        <f t="shared" si="68"/>
        <v>0.21538925521216509</v>
      </c>
      <c r="AK27" s="2">
        <f t="shared" si="69"/>
        <v>0.20228045408847165</v>
      </c>
      <c r="AL27" s="6">
        <f t="shared" si="70"/>
        <v>0.37095735777725208</v>
      </c>
      <c r="AM27" s="7">
        <f t="shared" si="71"/>
        <v>2.222212618303836</v>
      </c>
      <c r="AN27" s="7">
        <f t="shared" si="72"/>
        <v>1.0032891739147256</v>
      </c>
      <c r="AO27" s="7">
        <f t="shared" si="73"/>
        <v>1.0071999310332014</v>
      </c>
      <c r="AP27" s="7">
        <f t="shared" si="74"/>
        <v>0.94762962216580127</v>
      </c>
    </row>
    <row r="28" spans="1:42" x14ac:dyDescent="0.5">
      <c r="A28" t="s">
        <v>240</v>
      </c>
      <c r="B28" t="s">
        <v>220</v>
      </c>
      <c r="C28" t="str">
        <f t="shared" si="6"/>
        <v>50/97/35/50/50/50</v>
      </c>
      <c r="D28">
        <v>50</v>
      </c>
      <c r="E28">
        <v>97</v>
      </c>
      <c r="F28">
        <v>35</v>
      </c>
      <c r="G28">
        <v>50</v>
      </c>
      <c r="H28">
        <v>50</v>
      </c>
      <c r="I28">
        <v>50</v>
      </c>
      <c r="J28" s="5">
        <v>4.97</v>
      </c>
      <c r="K28">
        <v>0.5</v>
      </c>
      <c r="L28">
        <f>AVERAGE(L24:L27)</f>
        <v>100000</v>
      </c>
      <c r="M28">
        <v>48499</v>
      </c>
      <c r="N28">
        <f t="shared" si="7"/>
        <v>51501</v>
      </c>
      <c r="O28">
        <v>437462</v>
      </c>
      <c r="P28">
        <v>453046</v>
      </c>
      <c r="Q28" s="5">
        <f t="shared" si="0"/>
        <v>5.3690499999999997</v>
      </c>
      <c r="R28">
        <v>107381.1</v>
      </c>
      <c r="S28">
        <v>119012</v>
      </c>
      <c r="T28">
        <v>67734</v>
      </c>
      <c r="U28">
        <v>63790</v>
      </c>
      <c r="V28">
        <v>22919</v>
      </c>
      <c r="W28">
        <v>35415</v>
      </c>
      <c r="X28">
        <v>100829</v>
      </c>
      <c r="Y28">
        <v>1.44</v>
      </c>
      <c r="Z28">
        <v>0.27800000000000002</v>
      </c>
      <c r="AA28">
        <v>0.313</v>
      </c>
      <c r="AB28" s="2">
        <f t="shared" si="1"/>
        <v>0.48498999999999998</v>
      </c>
      <c r="AC28" s="5">
        <f t="shared" si="2"/>
        <v>4.5304599999999997</v>
      </c>
      <c r="AD28" s="4">
        <f t="shared" si="64"/>
        <v>-2.3976000000000059</v>
      </c>
      <c r="AE28" s="4">
        <f t="shared" si="65"/>
        <v>-20.809304999999977</v>
      </c>
      <c r="AF28" s="5">
        <f t="shared" si="3"/>
        <v>5.1562923033417647</v>
      </c>
      <c r="AG28" s="3">
        <f t="shared" si="4"/>
        <v>469045.61380000005</v>
      </c>
      <c r="AH28" s="2">
        <f t="shared" si="66"/>
        <v>4.8863051536332261E-2</v>
      </c>
      <c r="AI28" s="2">
        <f t="shared" si="67"/>
        <v>7.5504383706060774E-2</v>
      </c>
      <c r="AJ28" s="2">
        <f t="shared" si="68"/>
        <v>0.21496629972323597</v>
      </c>
      <c r="AK28" s="2">
        <f t="shared" si="69"/>
        <v>0.2048692007190879</v>
      </c>
      <c r="AL28" s="6">
        <f t="shared" si="70"/>
        <v>0.35237431776448824</v>
      </c>
      <c r="AM28" s="7">
        <f t="shared" si="71"/>
        <v>1.8190190716876176</v>
      </c>
      <c r="AN28" s="7">
        <f t="shared" si="72"/>
        <v>1.0028307786672535</v>
      </c>
      <c r="AO28" s="7">
        <f t="shared" si="73"/>
        <v>1.0052221130642414</v>
      </c>
      <c r="AP28" s="7">
        <f t="shared" si="74"/>
        <v>0.95975720514216201</v>
      </c>
    </row>
    <row r="29" spans="1:42" x14ac:dyDescent="0.5">
      <c r="A29" t="s">
        <v>240</v>
      </c>
      <c r="B29" t="s">
        <v>220</v>
      </c>
      <c r="C29" t="str">
        <f t="shared" si="6"/>
        <v>50/97/40/50/50/50</v>
      </c>
      <c r="D29">
        <v>50</v>
      </c>
      <c r="E29">
        <v>97</v>
      </c>
      <c r="F29">
        <v>40</v>
      </c>
      <c r="G29">
        <v>50</v>
      </c>
      <c r="H29">
        <v>50</v>
      </c>
      <c r="I29">
        <v>50</v>
      </c>
      <c r="J29" s="5">
        <v>4.55</v>
      </c>
      <c r="K29">
        <v>1.6</v>
      </c>
      <c r="L29">
        <f t="shared" si="50"/>
        <v>100000</v>
      </c>
      <c r="M29">
        <v>49116</v>
      </c>
      <c r="N29">
        <f t="shared" si="7"/>
        <v>50884</v>
      </c>
      <c r="O29">
        <v>438301</v>
      </c>
      <c r="P29">
        <v>446363</v>
      </c>
      <c r="Q29" s="5">
        <f t="shared" si="0"/>
        <v>5.4951999999999996</v>
      </c>
      <c r="R29">
        <v>109904</v>
      </c>
      <c r="S29">
        <v>117235</v>
      </c>
      <c r="T29">
        <v>62857</v>
      </c>
      <c r="U29">
        <v>58761</v>
      </c>
      <c r="V29">
        <v>18417</v>
      </c>
      <c r="W29">
        <v>36272</v>
      </c>
      <c r="X29">
        <v>101934</v>
      </c>
      <c r="Y29">
        <v>1.4</v>
      </c>
      <c r="Z29">
        <v>0.27</v>
      </c>
      <c r="AA29">
        <v>0.313</v>
      </c>
      <c r="AB29" s="2">
        <f t="shared" si="1"/>
        <v>0.49115999999999999</v>
      </c>
      <c r="AC29" s="5">
        <f t="shared" si="2"/>
        <v>4.4636300000000002</v>
      </c>
      <c r="AD29" s="4">
        <f t="shared" si="64"/>
        <v>-1.3980600000000043</v>
      </c>
      <c r="AE29" s="4">
        <f t="shared" si="65"/>
        <v>-9.9828450000000579</v>
      </c>
      <c r="AF29" s="5">
        <f t="shared" si="3"/>
        <v>4.5837608158769214</v>
      </c>
      <c r="AG29" s="3">
        <f t="shared" si="4"/>
        <v>475474.54799999995</v>
      </c>
      <c r="AH29" s="2">
        <f t="shared" si="66"/>
        <v>3.8733934502841155E-2</v>
      </c>
      <c r="AI29" s="2">
        <f t="shared" si="67"/>
        <v>7.6285891963243438E-2</v>
      </c>
      <c r="AJ29" s="2">
        <f t="shared" si="68"/>
        <v>0.21438371502484715</v>
      </c>
      <c r="AK29" s="2">
        <f t="shared" si="69"/>
        <v>0.20783026224150281</v>
      </c>
      <c r="AL29" s="6">
        <f t="shared" si="70"/>
        <v>0.33611534238353763</v>
      </c>
      <c r="AM29" s="7">
        <f t="shared" si="71"/>
        <v>1.4419436233895058</v>
      </c>
      <c r="AN29" s="7">
        <f t="shared" si="72"/>
        <v>1.0132105804167306</v>
      </c>
      <c r="AO29" s="7">
        <f t="shared" si="73"/>
        <v>1.0024978394348061</v>
      </c>
      <c r="AP29" s="7">
        <f t="shared" si="74"/>
        <v>0.97362898343305149</v>
      </c>
    </row>
    <row r="30" spans="1:42" x14ac:dyDescent="0.5">
      <c r="A30" t="s">
        <v>240</v>
      </c>
      <c r="B30" t="s">
        <v>220</v>
      </c>
      <c r="C30" t="str">
        <f t="shared" si="6"/>
        <v>50/97/45/50/50/50</v>
      </c>
      <c r="D30">
        <v>50</v>
      </c>
      <c r="E30">
        <v>97</v>
      </c>
      <c r="F30">
        <v>45</v>
      </c>
      <c r="G30">
        <v>50</v>
      </c>
      <c r="H30">
        <v>50</v>
      </c>
      <c r="I30">
        <v>50</v>
      </c>
      <c r="J30" s="5">
        <v>4.1900000000000004</v>
      </c>
      <c r="K30">
        <v>2.6</v>
      </c>
      <c r="L30">
        <f t="shared" si="50"/>
        <v>100000</v>
      </c>
      <c r="M30">
        <v>49598</v>
      </c>
      <c r="N30">
        <f t="shared" si="7"/>
        <v>50402</v>
      </c>
      <c r="O30">
        <v>438408</v>
      </c>
      <c r="P30">
        <v>442528</v>
      </c>
      <c r="Q30" s="5">
        <f t="shared" si="0"/>
        <v>5.5761500000000002</v>
      </c>
      <c r="R30">
        <v>111523.1</v>
      </c>
      <c r="S30">
        <v>116833</v>
      </c>
      <c r="T30">
        <v>59478</v>
      </c>
      <c r="U30">
        <v>55345</v>
      </c>
      <c r="V30">
        <v>15572</v>
      </c>
      <c r="W30">
        <v>36187</v>
      </c>
      <c r="X30">
        <v>102395</v>
      </c>
      <c r="Y30">
        <v>1.37</v>
      </c>
      <c r="Z30">
        <v>0.26700000000000002</v>
      </c>
      <c r="AA30">
        <v>0.314</v>
      </c>
      <c r="AB30" s="2">
        <f t="shared" si="1"/>
        <v>0.49597999999999998</v>
      </c>
      <c r="AC30" s="5">
        <f t="shared" si="2"/>
        <v>4.4252799999999999</v>
      </c>
      <c r="AD30" s="4">
        <f t="shared" si="64"/>
        <v>-0.61722000000000576</v>
      </c>
      <c r="AE30" s="4">
        <f t="shared" si="65"/>
        <v>-3.7701450000000047</v>
      </c>
      <c r="AF30" s="5">
        <f t="shared" si="3"/>
        <v>4.2225008026263406</v>
      </c>
      <c r="AG30" s="3">
        <f t="shared" si="4"/>
        <v>479695.37380000006</v>
      </c>
      <c r="AH30" s="2">
        <f t="shared" si="66"/>
        <v>3.2462268453088007E-2</v>
      </c>
      <c r="AI30" s="2">
        <f t="shared" si="67"/>
        <v>7.5437458805027974E-2</v>
      </c>
      <c r="AJ30" s="2">
        <f t="shared" si="68"/>
        <v>0.21345838545170473</v>
      </c>
      <c r="AK30" s="2">
        <f t="shared" si="69"/>
        <v>0.21109438516748938</v>
      </c>
      <c r="AL30" s="6">
        <f t="shared" si="70"/>
        <v>0.32650473285604359</v>
      </c>
      <c r="AM30" s="7">
        <f t="shared" si="71"/>
        <v>1.2084690491035741</v>
      </c>
      <c r="AN30" s="7">
        <f t="shared" si="72"/>
        <v>1.0019418984814852</v>
      </c>
      <c r="AO30" s="7">
        <f t="shared" si="73"/>
        <v>0.99817082747994335</v>
      </c>
      <c r="AP30" s="7">
        <f t="shared" si="74"/>
        <v>0.98892052303826961</v>
      </c>
    </row>
    <row r="31" spans="1:42" x14ac:dyDescent="0.5">
      <c r="A31" t="s">
        <v>240</v>
      </c>
      <c r="B31" t="s">
        <v>220</v>
      </c>
      <c r="C31" t="str">
        <f t="shared" si="6"/>
        <v>50/97/55/50/50/50</v>
      </c>
      <c r="D31">
        <v>50</v>
      </c>
      <c r="E31">
        <v>97</v>
      </c>
      <c r="F31">
        <v>55</v>
      </c>
      <c r="G31">
        <v>50</v>
      </c>
      <c r="H31">
        <v>50</v>
      </c>
      <c r="I31">
        <v>50</v>
      </c>
      <c r="J31" s="5">
        <v>3.9</v>
      </c>
      <c r="K31">
        <v>3.4</v>
      </c>
      <c r="L31">
        <f t="shared" si="50"/>
        <v>100000</v>
      </c>
      <c r="M31">
        <v>49996</v>
      </c>
      <c r="N31">
        <f t="shared" si="7"/>
        <v>50004</v>
      </c>
      <c r="O31">
        <v>437278</v>
      </c>
      <c r="P31">
        <v>437523</v>
      </c>
      <c r="Q31" s="5">
        <f t="shared" si="0"/>
        <v>5.6626500000000002</v>
      </c>
      <c r="R31">
        <v>113253.2</v>
      </c>
      <c r="S31">
        <v>115371</v>
      </c>
      <c r="T31">
        <v>55638</v>
      </c>
      <c r="U31">
        <v>51601</v>
      </c>
      <c r="V31">
        <v>11914</v>
      </c>
      <c r="W31">
        <v>36719</v>
      </c>
      <c r="X31">
        <v>103534</v>
      </c>
      <c r="Y31">
        <v>1.34</v>
      </c>
      <c r="Z31">
        <v>0.26200000000000001</v>
      </c>
      <c r="AA31">
        <v>0.315</v>
      </c>
      <c r="AB31" s="2">
        <f t="shared" si="1"/>
        <v>0.49996000000000002</v>
      </c>
      <c r="AC31" s="5">
        <f t="shared" si="2"/>
        <v>4.3752300000000002</v>
      </c>
      <c r="AD31" s="4">
        <f t="shared" si="64"/>
        <v>2.7540000000000564E-2</v>
      </c>
      <c r="AE31" s="4">
        <f t="shared" si="65"/>
        <v>4.3379549999999476</v>
      </c>
      <c r="AF31" s="5">
        <f t="shared" si="3"/>
        <v>3.7820397001453361</v>
      </c>
      <c r="AG31" s="3">
        <f t="shared" si="4"/>
        <v>483817.92959999997</v>
      </c>
      <c r="AH31" s="2">
        <f t="shared" si="66"/>
        <v>2.4624965862364769E-2</v>
      </c>
      <c r="AI31" s="2">
        <f t="shared" si="67"/>
        <v>7.5894252266255832E-2</v>
      </c>
      <c r="AJ31" s="2">
        <f t="shared" si="68"/>
        <v>0.21399372298086905</v>
      </c>
      <c r="AK31" s="2">
        <f t="shared" si="69"/>
        <v>0.21383457220267515</v>
      </c>
      <c r="AL31" s="6">
        <f t="shared" si="70"/>
        <v>0.31426243475146232</v>
      </c>
      <c r="AM31" s="7">
        <f t="shared" si="71"/>
        <v>0.91671070747580841</v>
      </c>
      <c r="AN31" s="7">
        <f t="shared" si="72"/>
        <v>1.0080089176388971</v>
      </c>
      <c r="AO31" s="7">
        <f t="shared" si="73"/>
        <v>1.0006741646214488</v>
      </c>
      <c r="AP31" s="7">
        <f t="shared" si="74"/>
        <v>1.001757563653578</v>
      </c>
    </row>
    <row r="32" spans="1:42" x14ac:dyDescent="0.5">
      <c r="A32" t="s">
        <v>240</v>
      </c>
      <c r="B32" t="s">
        <v>220</v>
      </c>
      <c r="C32" t="str">
        <f t="shared" si="6"/>
        <v>50/97/60/50/50/50</v>
      </c>
      <c r="D32">
        <v>50</v>
      </c>
      <c r="E32">
        <v>97</v>
      </c>
      <c r="F32">
        <v>60</v>
      </c>
      <c r="G32">
        <v>50</v>
      </c>
      <c r="H32">
        <v>50</v>
      </c>
      <c r="I32">
        <v>50</v>
      </c>
      <c r="J32" s="5">
        <v>3.78</v>
      </c>
      <c r="K32">
        <v>3.8</v>
      </c>
      <c r="L32">
        <f t="shared" si="50"/>
        <v>100000</v>
      </c>
      <c r="M32">
        <v>50143</v>
      </c>
      <c r="N32">
        <f t="shared" si="7"/>
        <v>49857</v>
      </c>
      <c r="O32">
        <v>437313</v>
      </c>
      <c r="P32">
        <v>437053</v>
      </c>
      <c r="Q32" s="5">
        <f t="shared" si="0"/>
        <v>5.6909000000000001</v>
      </c>
      <c r="R32">
        <v>113818.1</v>
      </c>
      <c r="S32">
        <v>114139</v>
      </c>
      <c r="T32">
        <v>53727</v>
      </c>
      <c r="U32">
        <v>49850</v>
      </c>
      <c r="V32">
        <v>10571</v>
      </c>
      <c r="W32">
        <v>36975</v>
      </c>
      <c r="X32">
        <v>104307</v>
      </c>
      <c r="Y32">
        <v>1.33</v>
      </c>
      <c r="Z32">
        <v>0.25800000000000001</v>
      </c>
      <c r="AA32">
        <v>0.314</v>
      </c>
      <c r="AB32" s="2">
        <f t="shared" si="1"/>
        <v>0.50143000000000004</v>
      </c>
      <c r="AC32" s="5">
        <f t="shared" si="2"/>
        <v>4.3705299999999996</v>
      </c>
      <c r="AD32" s="4">
        <f t="shared" si="64"/>
        <v>0.26568000000000491</v>
      </c>
      <c r="AE32" s="4">
        <f t="shared" si="65"/>
        <v>5.0993550000000436</v>
      </c>
      <c r="AF32" s="5">
        <f t="shared" si="3"/>
        <v>3.6192698438170314</v>
      </c>
      <c r="AG32" s="3">
        <f t="shared" si="4"/>
        <v>484505.29180000001</v>
      </c>
      <c r="AH32" s="2">
        <f t="shared" si="66"/>
        <v>2.1818131151318004E-2</v>
      </c>
      <c r="AI32" s="2">
        <f t="shared" si="67"/>
        <v>7.6314955947401689E-2</v>
      </c>
      <c r="AJ32" s="2">
        <f t="shared" si="68"/>
        <v>0.21528557430711637</v>
      </c>
      <c r="AK32" s="2">
        <f t="shared" si="69"/>
        <v>0.21376030716864092</v>
      </c>
      <c r="AL32" s="6">
        <f t="shared" si="70"/>
        <v>0.30901852478954966</v>
      </c>
      <c r="AM32" s="7">
        <f t="shared" si="71"/>
        <v>0.81222100186107582</v>
      </c>
      <c r="AN32" s="7">
        <f t="shared" si="72"/>
        <v>1.013596601153991</v>
      </c>
      <c r="AO32" s="7">
        <f t="shared" si="73"/>
        <v>1.0067150999755348</v>
      </c>
      <c r="AP32" s="7">
        <f t="shared" si="74"/>
        <v>1.001409651906696</v>
      </c>
    </row>
    <row r="33" spans="1:42" x14ac:dyDescent="0.5">
      <c r="A33" t="s">
        <v>240</v>
      </c>
      <c r="B33" t="s">
        <v>220</v>
      </c>
      <c r="C33" t="str">
        <f t="shared" si="6"/>
        <v>50/97/70/50/50/50</v>
      </c>
      <c r="D33">
        <v>50</v>
      </c>
      <c r="E33">
        <v>97</v>
      </c>
      <c r="F33">
        <v>70</v>
      </c>
      <c r="G33">
        <v>50</v>
      </c>
      <c r="H33">
        <v>50</v>
      </c>
      <c r="I33">
        <v>50</v>
      </c>
      <c r="J33" s="5">
        <v>3.55</v>
      </c>
      <c r="K33">
        <v>4.5</v>
      </c>
      <c r="L33">
        <f t="shared" si="50"/>
        <v>100000</v>
      </c>
      <c r="M33">
        <v>50805</v>
      </c>
      <c r="N33">
        <f t="shared" si="7"/>
        <v>49195</v>
      </c>
      <c r="O33">
        <v>439051</v>
      </c>
      <c r="P33">
        <v>432260</v>
      </c>
      <c r="Q33" s="5">
        <f t="shared" si="0"/>
        <v>5.7647000000000004</v>
      </c>
      <c r="R33">
        <v>115294.1</v>
      </c>
      <c r="S33">
        <v>113428</v>
      </c>
      <c r="T33">
        <v>50890</v>
      </c>
      <c r="U33">
        <v>47094</v>
      </c>
      <c r="V33">
        <v>8536</v>
      </c>
      <c r="W33">
        <v>36804</v>
      </c>
      <c r="X33">
        <v>104677</v>
      </c>
      <c r="Y33">
        <v>1.3</v>
      </c>
      <c r="Z33">
        <v>0.255</v>
      </c>
      <c r="AA33">
        <v>0.313</v>
      </c>
      <c r="AB33" s="2">
        <f t="shared" si="1"/>
        <v>0.50805</v>
      </c>
      <c r="AC33" s="5">
        <f t="shared" si="2"/>
        <v>4.3226000000000004</v>
      </c>
      <c r="AD33" s="4">
        <f t="shared" si="64"/>
        <v>1.3381199999999982</v>
      </c>
      <c r="AE33" s="4">
        <f t="shared" si="65"/>
        <v>12.864014999999904</v>
      </c>
      <c r="AF33" s="5">
        <f t="shared" si="3"/>
        <v>3.3744761127108012</v>
      </c>
      <c r="AG33" s="3">
        <f t="shared" si="4"/>
        <v>487913.31980000006</v>
      </c>
      <c r="AH33" s="2">
        <f t="shared" si="66"/>
        <v>1.7494910783536266E-2</v>
      </c>
      <c r="AI33" s="2">
        <f t="shared" si="67"/>
        <v>7.5431431171188931E-2</v>
      </c>
      <c r="AJ33" s="2">
        <f t="shared" si="68"/>
        <v>0.21454015652392522</v>
      </c>
      <c r="AK33" s="2">
        <f t="shared" si="69"/>
        <v>0.21498080856451338</v>
      </c>
      <c r="AL33" s="6">
        <f t="shared" si="70"/>
        <v>0.30115985375489274</v>
      </c>
      <c r="AM33" s="7">
        <f t="shared" si="71"/>
        <v>0.65128098577845306</v>
      </c>
      <c r="AN33" s="7">
        <f t="shared" si="72"/>
        <v>1.0018618409213857</v>
      </c>
      <c r="AO33" s="7">
        <f t="shared" si="73"/>
        <v>1.003229388772896</v>
      </c>
      <c r="AP33" s="7">
        <f t="shared" si="74"/>
        <v>1.0071273732843513</v>
      </c>
    </row>
    <row r="34" spans="1:42" x14ac:dyDescent="0.5">
      <c r="A34" t="s">
        <v>240</v>
      </c>
      <c r="B34" t="s">
        <v>220</v>
      </c>
      <c r="C34" t="str">
        <f t="shared" si="6"/>
        <v>50/97/80/50/50/50</v>
      </c>
      <c r="D34">
        <v>50</v>
      </c>
      <c r="E34">
        <v>97</v>
      </c>
      <c r="F34">
        <v>80</v>
      </c>
      <c r="G34">
        <v>50</v>
      </c>
      <c r="H34">
        <v>50</v>
      </c>
      <c r="I34">
        <v>50</v>
      </c>
      <c r="J34" s="5">
        <v>3.32</v>
      </c>
      <c r="K34">
        <v>5.2</v>
      </c>
      <c r="L34">
        <f t="shared" si="50"/>
        <v>100000</v>
      </c>
      <c r="M34">
        <v>50761</v>
      </c>
      <c r="N34">
        <f t="shared" si="7"/>
        <v>49239</v>
      </c>
      <c r="O34">
        <v>435986</v>
      </c>
      <c r="P34">
        <v>429492</v>
      </c>
      <c r="Q34" s="5">
        <f t="shared" si="0"/>
        <v>5.7984</v>
      </c>
      <c r="R34">
        <v>115968.2</v>
      </c>
      <c r="S34">
        <v>112522</v>
      </c>
      <c r="T34">
        <v>48765</v>
      </c>
      <c r="U34">
        <v>44647</v>
      </c>
      <c r="V34">
        <v>6263</v>
      </c>
      <c r="W34">
        <v>37389</v>
      </c>
      <c r="X34">
        <v>104378</v>
      </c>
      <c r="Y34">
        <v>1.29</v>
      </c>
      <c r="Z34">
        <v>0.252</v>
      </c>
      <c r="AA34">
        <v>0.314</v>
      </c>
      <c r="AB34" s="2">
        <f t="shared" si="1"/>
        <v>0.50761000000000001</v>
      </c>
      <c r="AC34" s="5">
        <f t="shared" si="2"/>
        <v>4.2949200000000003</v>
      </c>
      <c r="AD34" s="4">
        <f t="shared" si="64"/>
        <v>1.2668399999999989</v>
      </c>
      <c r="AE34" s="4">
        <f t="shared" si="65"/>
        <v>17.348174999999927</v>
      </c>
      <c r="AF34" s="5">
        <f t="shared" si="3"/>
        <v>3.1393572313643436</v>
      </c>
      <c r="AG34" s="3">
        <f t="shared" si="4"/>
        <v>489535.69559999998</v>
      </c>
      <c r="AH34" s="2">
        <f t="shared" si="66"/>
        <v>1.2793755504026621E-2</v>
      </c>
      <c r="AI34" s="2">
        <f t="shared" si="67"/>
        <v>7.637645290436712E-2</v>
      </c>
      <c r="AJ34" s="2">
        <f t="shared" si="68"/>
        <v>0.21321836372334194</v>
      </c>
      <c r="AK34" s="2">
        <f t="shared" si="69"/>
        <v>0.21706078015365873</v>
      </c>
      <c r="AL34" s="6">
        <f t="shared" si="70"/>
        <v>0.29473125141179168</v>
      </c>
      <c r="AM34" s="7">
        <f t="shared" si="71"/>
        <v>0.47627163119415145</v>
      </c>
      <c r="AN34" s="7">
        <f t="shared" si="72"/>
        <v>1.0144133887127027</v>
      </c>
      <c r="AO34" s="7">
        <f t="shared" si="73"/>
        <v>0.99704844155583894</v>
      </c>
      <c r="AP34" s="7">
        <f t="shared" si="74"/>
        <v>1.0168714817797539</v>
      </c>
    </row>
    <row r="35" spans="1:42" x14ac:dyDescent="0.5">
      <c r="A35" t="s">
        <v>240</v>
      </c>
      <c r="B35" t="s">
        <v>242</v>
      </c>
      <c r="C35" t="str">
        <f t="shared" si="6"/>
        <v>50/97/20/50/20/50</v>
      </c>
      <c r="D35">
        <v>50</v>
      </c>
      <c r="E35">
        <v>97</v>
      </c>
      <c r="F35">
        <v>20</v>
      </c>
      <c r="G35">
        <v>50</v>
      </c>
      <c r="H35">
        <v>20</v>
      </c>
      <c r="I35">
        <v>50</v>
      </c>
      <c r="J35" s="5">
        <v>10.210000000000001</v>
      </c>
      <c r="K35">
        <v>-8.8000000000000007</v>
      </c>
      <c r="L35">
        <f t="shared" si="50"/>
        <v>100000</v>
      </c>
      <c r="M35">
        <v>45119</v>
      </c>
      <c r="N35">
        <f t="shared" si="7"/>
        <v>54881</v>
      </c>
      <c r="O35">
        <v>438959</v>
      </c>
      <c r="P35">
        <v>495517</v>
      </c>
      <c r="Q35" s="5">
        <f t="shared" si="0"/>
        <v>3.7189000000000001</v>
      </c>
      <c r="R35">
        <v>74378</v>
      </c>
      <c r="S35">
        <v>95305</v>
      </c>
      <c r="T35">
        <v>95375</v>
      </c>
      <c r="U35">
        <v>91114</v>
      </c>
      <c r="V35">
        <v>31851</v>
      </c>
      <c r="W35">
        <v>85563</v>
      </c>
      <c r="X35">
        <v>71761</v>
      </c>
      <c r="Y35">
        <v>2.4300000000000002</v>
      </c>
      <c r="Z35">
        <v>0.314</v>
      </c>
      <c r="AA35">
        <v>0.313</v>
      </c>
      <c r="AB35" s="2">
        <f t="shared" si="1"/>
        <v>0.45118999999999998</v>
      </c>
      <c r="AC35" s="5">
        <f t="shared" si="2"/>
        <v>4.9551699999999999</v>
      </c>
      <c r="AD35" s="4">
        <f t="shared" ref="AD35" si="75">(AB35-AB$11)*162</f>
        <v>-7.8732000000000051</v>
      </c>
      <c r="AE35" s="4">
        <f t="shared" ref="AE35" si="76">-(AC35-AC$11)*162</f>
        <v>-89.612324999999998</v>
      </c>
      <c r="AF35" s="5">
        <f t="shared" si="3"/>
        <v>10.358689753049319</v>
      </c>
      <c r="AG35" s="3">
        <f t="shared" si="4"/>
        <v>398855.31799999997</v>
      </c>
      <c r="AH35" s="2">
        <f t="shared" ref="AH35" si="77">V35/$AG35</f>
        <v>7.9856024384260565E-2</v>
      </c>
      <c r="AI35" s="2">
        <f t="shared" ref="AI35" si="78">W35/$AG35</f>
        <v>0.21452139695427103</v>
      </c>
      <c r="AJ35" s="2">
        <f t="shared" ref="AJ35" si="79">X35/$AG35</f>
        <v>0.17991737043857092</v>
      </c>
      <c r="AK35" s="2">
        <f t="shared" ref="AK35" si="80">(S35-V35)/$AG35</f>
        <v>0.15909026941944901</v>
      </c>
      <c r="AL35" s="6">
        <f t="shared" ref="AL35" si="81">SUMPRODUCT($AH$4:$AK$4,AH35:AK35)</f>
        <v>0.46760234670293099</v>
      </c>
      <c r="AM35" s="7">
        <f t="shared" ref="AM35" si="82">AH35/AH$11</f>
        <v>2.9727908261340001</v>
      </c>
      <c r="AN35" s="7">
        <f t="shared" ref="AN35" si="83">AI35/AI$11</f>
        <v>2.8492207867815504</v>
      </c>
      <c r="AO35" s="7">
        <f t="shared" ref="AO35" si="84">AJ35/AJ$11</f>
        <v>0.84132684761318943</v>
      </c>
      <c r="AP35" s="7">
        <f t="shared" ref="AP35" si="85">AK35/AK$11</f>
        <v>0.74529520204789779</v>
      </c>
    </row>
    <row r="36" spans="1:42" x14ac:dyDescent="0.5">
      <c r="A36" t="s">
        <v>240</v>
      </c>
      <c r="B36" t="s">
        <v>242</v>
      </c>
      <c r="C36">
        <v>80</v>
      </c>
      <c r="D36">
        <v>80</v>
      </c>
      <c r="E36">
        <v>80</v>
      </c>
      <c r="G36">
        <v>50</v>
      </c>
      <c r="I36">
        <v>50</v>
      </c>
      <c r="J36" s="5"/>
      <c r="L36">
        <f t="shared" si="50"/>
        <v>100000</v>
      </c>
      <c r="M36">
        <v>45120</v>
      </c>
      <c r="N36">
        <f t="shared" ref="N36" si="86">L36-M36</f>
        <v>54880</v>
      </c>
      <c r="O36">
        <v>438959</v>
      </c>
      <c r="P36">
        <v>495517</v>
      </c>
      <c r="Q36" s="5"/>
      <c r="AB36" s="2"/>
      <c r="AC36" s="5"/>
      <c r="AD36" s="4"/>
      <c r="AE36" s="4"/>
      <c r="AF36" s="5"/>
      <c r="AG36" s="3"/>
      <c r="AH36" s="2"/>
      <c r="AI36" s="2"/>
      <c r="AJ36" s="2"/>
      <c r="AK36" s="2"/>
      <c r="AL36" s="6"/>
      <c r="AM36" s="7"/>
      <c r="AN36" s="7"/>
      <c r="AO36" s="7"/>
      <c r="AP36" s="7"/>
    </row>
    <row r="37" spans="1:42" x14ac:dyDescent="0.5">
      <c r="A37" t="s">
        <v>240</v>
      </c>
      <c r="B37" t="s">
        <v>222</v>
      </c>
      <c r="C37" t="str">
        <f t="shared" si="6"/>
        <v>50/97/50/20/50/50</v>
      </c>
      <c r="D37">
        <v>50</v>
      </c>
      <c r="E37">
        <v>97</v>
      </c>
      <c r="F37">
        <v>50</v>
      </c>
      <c r="G37">
        <v>20</v>
      </c>
      <c r="H37">
        <v>50</v>
      </c>
      <c r="I37">
        <v>50</v>
      </c>
      <c r="J37" s="5">
        <v>4.07</v>
      </c>
      <c r="K37">
        <v>2.7</v>
      </c>
      <c r="L37">
        <f>AVERAGE(L33:L35)</f>
        <v>100000</v>
      </c>
      <c r="M37">
        <v>49398</v>
      </c>
      <c r="N37">
        <f t="shared" si="7"/>
        <v>50602</v>
      </c>
      <c r="O37">
        <v>438852</v>
      </c>
      <c r="P37">
        <v>443783</v>
      </c>
      <c r="Q37" s="5">
        <f t="shared" si="0"/>
        <v>5.4845499999999996</v>
      </c>
      <c r="R37">
        <v>109691</v>
      </c>
      <c r="S37">
        <v>121782</v>
      </c>
      <c r="T37">
        <v>60670</v>
      </c>
      <c r="U37">
        <v>56506</v>
      </c>
      <c r="V37">
        <v>13148</v>
      </c>
      <c r="W37">
        <v>35719</v>
      </c>
      <c r="X37">
        <v>102941</v>
      </c>
      <c r="Y37">
        <v>1.44</v>
      </c>
      <c r="Z37">
        <v>0.27900000000000003</v>
      </c>
      <c r="AA37">
        <v>0.33600000000000002</v>
      </c>
      <c r="AB37" s="2">
        <f t="shared" si="1"/>
        <v>0.49397999999999997</v>
      </c>
      <c r="AC37" s="5">
        <f t="shared" si="2"/>
        <v>4.4378299999999999</v>
      </c>
      <c r="AD37" s="4">
        <f t="shared" ref="AD37:AD47" si="87">(AB37-AB$11)*162</f>
        <v>-0.94122000000000605</v>
      </c>
      <c r="AE37" s="4">
        <f t="shared" ref="AE37:AE47" si="88">-(AC37-AC$11)*162</f>
        <v>-5.8032450000000146</v>
      </c>
      <c r="AF37" s="5">
        <f t="shared" si="3"/>
        <v>3.9283724528079693</v>
      </c>
      <c r="AG37" s="3">
        <f t="shared" si="4"/>
        <v>478885.51199999999</v>
      </c>
      <c r="AH37" s="2">
        <f t="shared" ref="AH37:AH47" si="89">V37/$AG37</f>
        <v>2.7455414019708326E-2</v>
      </c>
      <c r="AI37" s="2">
        <f t="shared" ref="AI37:AI47" si="90">W37/$AG37</f>
        <v>7.458776493534848E-2</v>
      </c>
      <c r="AJ37" s="2">
        <f t="shared" ref="AJ37:AJ47" si="91">X37/$AG37</f>
        <v>0.21495952042917515</v>
      </c>
      <c r="AK37" s="2">
        <f t="shared" ref="AK37:AK47" si="92">(S37-V37)/$AG37</f>
        <v>0.22684753929243948</v>
      </c>
      <c r="AL37" s="6">
        <f t="shared" ref="AL37:AL47" si="93">SUMPRODUCT($AH$4:$AK$4,AH37:AK37)</f>
        <v>0.33171811259446532</v>
      </c>
      <c r="AM37" s="7">
        <f t="shared" ref="AM37:AM47" si="94">AH37/AH$11</f>
        <v>1.0220794680781364</v>
      </c>
      <c r="AN37" s="7">
        <f t="shared" ref="AN37:AN47" si="95">AI37/AI$11</f>
        <v>0.9906564720845662</v>
      </c>
      <c r="AO37" s="7">
        <f t="shared" ref="AO37:AO47" si="96">AJ37/AJ$11</f>
        <v>1.0051904118333523</v>
      </c>
      <c r="AP37" s="7">
        <f t="shared" ref="AP37:AP47" si="97">AK37/AK$11</f>
        <v>1.0627198209418474</v>
      </c>
    </row>
    <row r="38" spans="1:42" x14ac:dyDescent="0.5">
      <c r="A38" t="s">
        <v>240</v>
      </c>
      <c r="B38" t="s">
        <v>241</v>
      </c>
      <c r="C38" t="str">
        <f t="shared" ref="C38:C47" si="98">_xlfn.CONCAT(D38,"/",E38,"/",F38,"/",G38,"/",H38,"/",I38)</f>
        <v>50/97/50/50/50/40</v>
      </c>
      <c r="D38">
        <v>50</v>
      </c>
      <c r="E38">
        <v>97</v>
      </c>
      <c r="F38">
        <v>50</v>
      </c>
      <c r="G38">
        <v>50</v>
      </c>
      <c r="H38">
        <v>50</v>
      </c>
      <c r="I38">
        <v>40</v>
      </c>
      <c r="J38" s="5">
        <v>4</v>
      </c>
      <c r="K38">
        <v>3.1</v>
      </c>
      <c r="L38">
        <f>AVERAGE(L34:L37)</f>
        <v>100000</v>
      </c>
      <c r="M38">
        <v>49963</v>
      </c>
      <c r="N38">
        <f t="shared" si="7"/>
        <v>50037</v>
      </c>
      <c r="O38">
        <v>439305</v>
      </c>
      <c r="P38">
        <v>439196</v>
      </c>
      <c r="Q38" s="5">
        <f t="shared" ref="Q38:Q47" si="99">ROUND(R38,0)/(L38/5)</f>
        <v>5.3076499999999998</v>
      </c>
      <c r="R38">
        <v>106153</v>
      </c>
      <c r="S38">
        <v>109133</v>
      </c>
      <c r="T38">
        <v>53948</v>
      </c>
      <c r="U38">
        <v>50248</v>
      </c>
      <c r="V38">
        <v>12468</v>
      </c>
      <c r="W38">
        <v>34194</v>
      </c>
      <c r="X38">
        <v>97681</v>
      </c>
      <c r="Y38">
        <v>1.35</v>
      </c>
      <c r="Z38">
        <v>0.26300000000000001</v>
      </c>
      <c r="AA38">
        <v>0.315</v>
      </c>
      <c r="AB38" s="2">
        <f t="shared" si="1"/>
        <v>0.49963000000000002</v>
      </c>
      <c r="AC38" s="5">
        <f t="shared" si="2"/>
        <v>4.3919600000000001</v>
      </c>
      <c r="AD38" s="4">
        <f t="shared" si="87"/>
        <v>-2.5919999999998944E-2</v>
      </c>
      <c r="AE38" s="4">
        <f t="shared" si="88"/>
        <v>1.6276949999999619</v>
      </c>
      <c r="AF38" s="5">
        <f t="shared" si="3"/>
        <v>3.9230379260322579</v>
      </c>
      <c r="AG38" s="3">
        <f t="shared" si="4"/>
        <v>454279.54799999995</v>
      </c>
      <c r="AH38" s="2">
        <f t="shared" si="89"/>
        <v>2.7445655554803893E-2</v>
      </c>
      <c r="AI38" s="2">
        <f t="shared" si="90"/>
        <v>7.5270833015797581E-2</v>
      </c>
      <c r="AJ38" s="2">
        <f t="shared" si="91"/>
        <v>0.21502398782874552</v>
      </c>
      <c r="AK38" s="2">
        <f t="shared" si="92"/>
        <v>0.21278747948388821</v>
      </c>
      <c r="AL38" s="6">
        <f t="shared" si="93"/>
        <v>0.3182777677362022</v>
      </c>
      <c r="AM38" s="7">
        <f t="shared" si="94"/>
        <v>1.0217161908530461</v>
      </c>
      <c r="AN38" s="7">
        <f t="shared" si="95"/>
        <v>0.999728815455598</v>
      </c>
      <c r="AO38" s="7">
        <f t="shared" si="96"/>
        <v>1.0054918732982578</v>
      </c>
      <c r="AP38" s="7">
        <f t="shared" si="97"/>
        <v>0.99685221537389379</v>
      </c>
    </row>
    <row r="39" spans="1:42" x14ac:dyDescent="0.5">
      <c r="A39" t="s">
        <v>240</v>
      </c>
      <c r="B39" t="s">
        <v>241</v>
      </c>
      <c r="C39">
        <v>80</v>
      </c>
      <c r="D39">
        <v>80</v>
      </c>
      <c r="E39">
        <v>80</v>
      </c>
      <c r="J39" s="5"/>
      <c r="Q39" s="5"/>
      <c r="AB39" s="2"/>
      <c r="AC39" s="5"/>
      <c r="AD39" s="4"/>
      <c r="AE39" s="4"/>
      <c r="AF39" s="5"/>
      <c r="AG39" s="3"/>
      <c r="AH39" s="2"/>
      <c r="AI39" s="2"/>
      <c r="AJ39" s="2"/>
      <c r="AK39" s="2"/>
      <c r="AL39" s="6"/>
      <c r="AM39" s="7"/>
      <c r="AN39" s="7"/>
      <c r="AO39" s="7"/>
      <c r="AP39" s="7"/>
    </row>
    <row r="40" spans="1:42" x14ac:dyDescent="0.5">
      <c r="A40" t="s">
        <v>240</v>
      </c>
      <c r="B40" t="s">
        <v>241</v>
      </c>
      <c r="C40" t="str">
        <f t="shared" si="98"/>
        <v>50/97/50/50/50/45</v>
      </c>
      <c r="D40">
        <v>50</v>
      </c>
      <c r="E40">
        <v>97</v>
      </c>
      <c r="F40">
        <v>50</v>
      </c>
      <c r="G40">
        <v>50</v>
      </c>
      <c r="H40">
        <v>50</v>
      </c>
      <c r="I40">
        <v>45</v>
      </c>
      <c r="J40" s="5">
        <v>4</v>
      </c>
      <c r="K40">
        <v>3.1</v>
      </c>
      <c r="L40">
        <f>AVERAGE(L35:L38)</f>
        <v>100000</v>
      </c>
      <c r="M40">
        <v>49861</v>
      </c>
      <c r="N40">
        <f t="shared" si="7"/>
        <v>50139</v>
      </c>
      <c r="O40">
        <v>438774</v>
      </c>
      <c r="P40">
        <v>439285</v>
      </c>
      <c r="Q40" s="5">
        <f t="shared" si="99"/>
        <v>5.5305499999999999</v>
      </c>
      <c r="R40">
        <v>110611</v>
      </c>
      <c r="S40">
        <v>112748</v>
      </c>
      <c r="T40">
        <v>55589</v>
      </c>
      <c r="U40">
        <v>51775</v>
      </c>
      <c r="V40">
        <v>12982</v>
      </c>
      <c r="W40">
        <v>35603</v>
      </c>
      <c r="X40">
        <v>101565</v>
      </c>
      <c r="Y40">
        <v>1.34</v>
      </c>
      <c r="Z40">
        <v>0.26100000000000001</v>
      </c>
      <c r="AA40">
        <v>0.313</v>
      </c>
      <c r="AB40" s="2">
        <f t="shared" si="1"/>
        <v>0.49861</v>
      </c>
      <c r="AC40" s="5">
        <f t="shared" si="2"/>
        <v>4.3928500000000001</v>
      </c>
      <c r="AD40" s="4">
        <f t="shared" si="87"/>
        <v>-0.19116000000000233</v>
      </c>
      <c r="AE40" s="4">
        <f t="shared" si="88"/>
        <v>1.4835149999999526</v>
      </c>
      <c r="AF40" s="5">
        <f t="shared" si="3"/>
        <v>3.9251218970856079</v>
      </c>
      <c r="AG40" s="3">
        <f t="shared" si="4"/>
        <v>472354.88800000004</v>
      </c>
      <c r="AH40" s="2">
        <f t="shared" si="89"/>
        <v>2.7483572902076116E-2</v>
      </c>
      <c r="AI40" s="2">
        <f t="shared" si="90"/>
        <v>7.5373412881883844E-2</v>
      </c>
      <c r="AJ40" s="2">
        <f t="shared" si="91"/>
        <v>0.215018416407284</v>
      </c>
      <c r="AK40" s="2">
        <f t="shared" si="92"/>
        <v>0.21120983932741688</v>
      </c>
      <c r="AL40" s="6">
        <f t="shared" si="93"/>
        <v>0.31686441107080454</v>
      </c>
      <c r="AM40" s="7">
        <f t="shared" si="94"/>
        <v>1.0231277354796582</v>
      </c>
      <c r="AN40" s="7">
        <f t="shared" si="95"/>
        <v>1.0010912561767003</v>
      </c>
      <c r="AO40" s="7">
        <f t="shared" si="96"/>
        <v>1.0054658203026883</v>
      </c>
      <c r="AP40" s="7">
        <f t="shared" si="97"/>
        <v>0.98946139478211947</v>
      </c>
    </row>
    <row r="41" spans="1:42" x14ac:dyDescent="0.5">
      <c r="A41" t="s">
        <v>240</v>
      </c>
      <c r="B41" t="s">
        <v>241</v>
      </c>
      <c r="C41" t="str">
        <f t="shared" si="98"/>
        <v>50/97/50/50/50/55</v>
      </c>
      <c r="D41">
        <v>50</v>
      </c>
      <c r="E41">
        <v>97</v>
      </c>
      <c r="F41">
        <v>50</v>
      </c>
      <c r="G41">
        <v>50</v>
      </c>
      <c r="H41">
        <v>50</v>
      </c>
      <c r="I41">
        <v>55</v>
      </c>
      <c r="J41" s="5">
        <v>4</v>
      </c>
      <c r="K41">
        <v>3.1</v>
      </c>
      <c r="L41">
        <f>AVERAGE(L37:L40)</f>
        <v>100000</v>
      </c>
      <c r="M41">
        <v>49950</v>
      </c>
      <c r="N41">
        <f t="shared" si="7"/>
        <v>50050</v>
      </c>
      <c r="O41">
        <v>436189</v>
      </c>
      <c r="P41">
        <v>436756</v>
      </c>
      <c r="Q41" s="5">
        <f t="shared" si="99"/>
        <v>5.7194500000000001</v>
      </c>
      <c r="R41">
        <v>114389.1</v>
      </c>
      <c r="S41">
        <v>117447</v>
      </c>
      <c r="T41">
        <v>57822</v>
      </c>
      <c r="U41">
        <v>53883</v>
      </c>
      <c r="V41">
        <v>13649</v>
      </c>
      <c r="W41">
        <v>36528</v>
      </c>
      <c r="X41">
        <v>105071</v>
      </c>
      <c r="Y41">
        <v>1.35</v>
      </c>
      <c r="Z41">
        <v>0.26300000000000001</v>
      </c>
      <c r="AA41">
        <v>0.314</v>
      </c>
      <c r="AB41" s="2">
        <f t="shared" si="1"/>
        <v>0.4995</v>
      </c>
      <c r="AC41" s="5">
        <f t="shared" si="2"/>
        <v>4.3675600000000001</v>
      </c>
      <c r="AD41" s="4">
        <f t="shared" si="87"/>
        <v>-4.698000000000202E-2</v>
      </c>
      <c r="AE41" s="4">
        <f t="shared" si="88"/>
        <v>5.5804949999999582</v>
      </c>
      <c r="AF41" s="5">
        <f t="shared" si="3"/>
        <v>3.9422522205631609</v>
      </c>
      <c r="AG41" s="3">
        <f t="shared" si="4"/>
        <v>489047.02580000006</v>
      </c>
      <c r="AH41" s="2">
        <f t="shared" si="89"/>
        <v>2.7909381470365743E-2</v>
      </c>
      <c r="AI41" s="2">
        <f t="shared" si="90"/>
        <v>7.4692203557001971E-2</v>
      </c>
      <c r="AJ41" s="2">
        <f t="shared" si="91"/>
        <v>0.2148484592624221</v>
      </c>
      <c r="AK41" s="2">
        <f t="shared" si="92"/>
        <v>0.2122454376042951</v>
      </c>
      <c r="AL41" s="6">
        <f t="shared" si="93"/>
        <v>0.31822904280122938</v>
      </c>
      <c r="AM41" s="7">
        <f t="shared" si="94"/>
        <v>1.0389792609626893</v>
      </c>
      <c r="AN41" s="7">
        <f t="shared" si="95"/>
        <v>0.99204360034301853</v>
      </c>
      <c r="AO41" s="7">
        <f t="shared" si="96"/>
        <v>1.0046710693091212</v>
      </c>
      <c r="AP41" s="7">
        <f t="shared" si="97"/>
        <v>0.99431289468731765</v>
      </c>
    </row>
    <row r="42" spans="1:42" x14ac:dyDescent="0.5">
      <c r="A42" t="s">
        <v>240</v>
      </c>
      <c r="B42" t="s">
        <v>241</v>
      </c>
      <c r="C42">
        <v>80</v>
      </c>
      <c r="D42">
        <v>80</v>
      </c>
      <c r="E42">
        <v>80</v>
      </c>
      <c r="J42" s="5"/>
      <c r="Q42" s="5"/>
      <c r="AB42" s="2"/>
      <c r="AC42" s="5"/>
      <c r="AD42" s="4"/>
      <c r="AE42" s="4"/>
      <c r="AF42" s="5"/>
      <c r="AG42" s="3"/>
      <c r="AH42" s="2"/>
      <c r="AI42" s="2"/>
      <c r="AJ42" s="2"/>
      <c r="AK42" s="2"/>
      <c r="AL42" s="6"/>
      <c r="AM42" s="7"/>
      <c r="AN42" s="7"/>
      <c r="AO42" s="7"/>
      <c r="AP42" s="7"/>
    </row>
    <row r="43" spans="1:42" x14ac:dyDescent="0.5">
      <c r="A43" t="s">
        <v>240</v>
      </c>
      <c r="B43" t="s">
        <v>241</v>
      </c>
      <c r="C43" t="str">
        <f t="shared" si="98"/>
        <v>50/97/50/50/50/60</v>
      </c>
      <c r="D43">
        <v>50</v>
      </c>
      <c r="E43">
        <v>97</v>
      </c>
      <c r="F43">
        <v>50</v>
      </c>
      <c r="G43">
        <v>50</v>
      </c>
      <c r="H43">
        <v>50</v>
      </c>
      <c r="I43">
        <v>60</v>
      </c>
      <c r="J43" s="5">
        <v>4</v>
      </c>
      <c r="K43">
        <v>3.1</v>
      </c>
      <c r="L43">
        <f>AVERAGE(L38:L41)</f>
        <v>100000</v>
      </c>
      <c r="M43">
        <v>49570</v>
      </c>
      <c r="N43">
        <f t="shared" si="7"/>
        <v>50430</v>
      </c>
      <c r="O43">
        <v>435976</v>
      </c>
      <c r="P43">
        <v>439873</v>
      </c>
      <c r="Q43" s="5">
        <f t="shared" si="99"/>
        <v>5.8329500000000003</v>
      </c>
      <c r="R43">
        <v>116659</v>
      </c>
      <c r="S43">
        <v>119899</v>
      </c>
      <c r="T43">
        <v>58670</v>
      </c>
      <c r="U43">
        <v>54527</v>
      </c>
      <c r="V43">
        <v>13763</v>
      </c>
      <c r="W43">
        <v>37583</v>
      </c>
      <c r="X43">
        <v>106948</v>
      </c>
      <c r="Y43">
        <v>1.35</v>
      </c>
      <c r="Z43">
        <v>0.26300000000000001</v>
      </c>
      <c r="AA43">
        <v>0.314</v>
      </c>
      <c r="AB43" s="2">
        <f t="shared" si="1"/>
        <v>0.49569999999999997</v>
      </c>
      <c r="AC43" s="5">
        <f t="shared" si="2"/>
        <v>4.3987299999999996</v>
      </c>
      <c r="AD43" s="4">
        <f t="shared" si="87"/>
        <v>-0.66258000000000616</v>
      </c>
      <c r="AE43" s="4">
        <f t="shared" si="88"/>
        <v>0.53095500000004314</v>
      </c>
      <c r="AF43" s="5">
        <f t="shared" si="3"/>
        <v>3.9368299058936942</v>
      </c>
      <c r="AG43" s="3">
        <f t="shared" si="4"/>
        <v>499196.01399999997</v>
      </c>
      <c r="AH43" s="2">
        <f t="shared" si="89"/>
        <v>2.7570332322405123E-2</v>
      </c>
      <c r="AI43" s="2">
        <f t="shared" si="90"/>
        <v>7.5287059483611987E-2</v>
      </c>
      <c r="AJ43" s="2">
        <f t="shared" si="91"/>
        <v>0.21424049271354961</v>
      </c>
      <c r="AK43" s="2">
        <f t="shared" si="92"/>
        <v>0.2126138771612868</v>
      </c>
      <c r="AL43" s="6">
        <f t="shared" si="93"/>
        <v>0.3183607824018273</v>
      </c>
      <c r="AM43" s="7">
        <f t="shared" si="94"/>
        <v>1.0263575182145674</v>
      </c>
      <c r="AN43" s="7">
        <f t="shared" si="95"/>
        <v>0.9999443314369838</v>
      </c>
      <c r="AO43" s="7">
        <f t="shared" si="96"/>
        <v>1.0018281054598257</v>
      </c>
      <c r="AP43" s="7">
        <f t="shared" si="97"/>
        <v>0.99603893509866792</v>
      </c>
    </row>
    <row r="44" spans="1:42" x14ac:dyDescent="0.5">
      <c r="A44" t="s">
        <v>240</v>
      </c>
      <c r="B44" t="s">
        <v>241</v>
      </c>
      <c r="C44" t="str">
        <f t="shared" si="98"/>
        <v>50/97/50/50/50/65</v>
      </c>
      <c r="D44">
        <v>50</v>
      </c>
      <c r="E44">
        <v>97</v>
      </c>
      <c r="F44">
        <v>50</v>
      </c>
      <c r="G44">
        <v>50</v>
      </c>
      <c r="H44">
        <v>50</v>
      </c>
      <c r="I44">
        <v>65</v>
      </c>
      <c r="J44" s="5">
        <v>4</v>
      </c>
      <c r="K44">
        <v>3.1</v>
      </c>
      <c r="L44">
        <f>AVERAGE(L40:L43)</f>
        <v>100000</v>
      </c>
      <c r="M44">
        <v>50013</v>
      </c>
      <c r="N44">
        <f t="shared" si="7"/>
        <v>49987</v>
      </c>
      <c r="O44">
        <v>439040</v>
      </c>
      <c r="P44">
        <v>440597</v>
      </c>
      <c r="Q44" s="5">
        <f t="shared" si="99"/>
        <v>5.9259500000000003</v>
      </c>
      <c r="R44">
        <v>118519.1</v>
      </c>
      <c r="S44">
        <v>121348</v>
      </c>
      <c r="T44">
        <v>59628</v>
      </c>
      <c r="U44">
        <v>55560</v>
      </c>
      <c r="V44">
        <v>13967</v>
      </c>
      <c r="W44">
        <v>38205</v>
      </c>
      <c r="X44">
        <v>108373</v>
      </c>
      <c r="Y44">
        <v>1.35</v>
      </c>
      <c r="Z44">
        <v>0.26200000000000001</v>
      </c>
      <c r="AA44">
        <v>0.313</v>
      </c>
      <c r="AB44" s="2">
        <f t="shared" si="1"/>
        <v>0.50012999999999996</v>
      </c>
      <c r="AC44" s="5">
        <f t="shared" si="2"/>
        <v>4.4059699999999999</v>
      </c>
      <c r="AD44" s="4">
        <f t="shared" si="87"/>
        <v>5.5079999999992135E-2</v>
      </c>
      <c r="AE44" s="4">
        <f t="shared" si="88"/>
        <v>-0.64192500000001473</v>
      </c>
      <c r="AF44" s="5">
        <f t="shared" si="3"/>
        <v>3.9404406653676922</v>
      </c>
      <c r="AG44" s="3">
        <f t="shared" si="4"/>
        <v>506706.03380000003</v>
      </c>
      <c r="AH44" s="2">
        <f t="shared" si="89"/>
        <v>2.7564305669020038E-2</v>
      </c>
      <c r="AI44" s="2">
        <f t="shared" si="90"/>
        <v>7.5398746909494566E-2</v>
      </c>
      <c r="AJ44" s="2">
        <f t="shared" si="91"/>
        <v>0.21387746103448904</v>
      </c>
      <c r="AK44" s="2">
        <f t="shared" si="92"/>
        <v>0.21191971841090004</v>
      </c>
      <c r="AL44" s="6">
        <f t="shared" si="93"/>
        <v>0.31774254094401233</v>
      </c>
      <c r="AM44" s="7">
        <f t="shared" si="94"/>
        <v>1.0261331646979277</v>
      </c>
      <c r="AN44" s="7">
        <f t="shared" si="95"/>
        <v>1.0014277365423243</v>
      </c>
      <c r="AO44" s="7">
        <f t="shared" si="96"/>
        <v>1.000130502291309</v>
      </c>
      <c r="AP44" s="7">
        <f t="shared" si="97"/>
        <v>0.99278698771049179</v>
      </c>
    </row>
    <row r="45" spans="1:42" x14ac:dyDescent="0.5">
      <c r="A45" t="s">
        <v>240</v>
      </c>
      <c r="B45" t="s">
        <v>241</v>
      </c>
      <c r="C45">
        <v>80</v>
      </c>
      <c r="D45">
        <v>80</v>
      </c>
      <c r="E45">
        <v>80</v>
      </c>
      <c r="F45">
        <v>50</v>
      </c>
      <c r="G45">
        <v>50</v>
      </c>
      <c r="H45">
        <v>50</v>
      </c>
      <c r="I45">
        <v>70</v>
      </c>
      <c r="J45" s="5">
        <v>4</v>
      </c>
      <c r="K45">
        <v>3.1</v>
      </c>
      <c r="L45">
        <f>AVERAGE(L41:L44)</f>
        <v>100000</v>
      </c>
      <c r="M45">
        <v>49620</v>
      </c>
      <c r="N45">
        <f t="shared" si="7"/>
        <v>50380</v>
      </c>
      <c r="O45">
        <v>435383</v>
      </c>
      <c r="P45">
        <v>438150</v>
      </c>
      <c r="Q45" s="5">
        <f t="shared" si="99"/>
        <v>5.9921499999999996</v>
      </c>
      <c r="R45">
        <v>119843</v>
      </c>
      <c r="S45">
        <v>123388</v>
      </c>
      <c r="T45">
        <v>60543</v>
      </c>
      <c r="U45">
        <v>56431</v>
      </c>
      <c r="V45">
        <v>14370</v>
      </c>
      <c r="W45">
        <v>38268</v>
      </c>
      <c r="X45">
        <v>110248</v>
      </c>
      <c r="Y45">
        <v>1.35</v>
      </c>
      <c r="Z45">
        <v>0.26300000000000001</v>
      </c>
      <c r="AA45">
        <v>0.315</v>
      </c>
      <c r="AB45" s="2">
        <f t="shared" si="1"/>
        <v>0.49619999999999997</v>
      </c>
      <c r="AC45" s="5">
        <f t="shared" si="2"/>
        <v>4.3815</v>
      </c>
      <c r="AD45" s="4">
        <f t="shared" si="87"/>
        <v>-0.58158000000000609</v>
      </c>
      <c r="AE45" s="4">
        <f t="shared" si="88"/>
        <v>3.3222149999999839</v>
      </c>
      <c r="AF45" s="5">
        <f t="shared" si="3"/>
        <v>3.9470378573703324</v>
      </c>
      <c r="AG45" s="3">
        <f t="shared" si="4"/>
        <v>512709.446</v>
      </c>
      <c r="AH45" s="2">
        <f t="shared" si="89"/>
        <v>2.8027570219566426E-2</v>
      </c>
      <c r="AI45" s="2">
        <f t="shared" si="90"/>
        <v>7.4638765286177314E-2</v>
      </c>
      <c r="AJ45" s="2">
        <f t="shared" si="91"/>
        <v>0.215030171299009</v>
      </c>
      <c r="AK45" s="2">
        <f t="shared" si="92"/>
        <v>0.21263115171862856</v>
      </c>
      <c r="AL45" s="6">
        <f t="shared" si="93"/>
        <v>0.31880271850837028</v>
      </c>
      <c r="AM45" s="7">
        <f>AH45/AH$11</f>
        <v>1.0433790596264114</v>
      </c>
      <c r="AN45" s="7">
        <f t="shared" si="95"/>
        <v>0.99133384628489196</v>
      </c>
      <c r="AO45" s="7">
        <f t="shared" si="96"/>
        <v>1.0055207883470461</v>
      </c>
      <c r="AP45" s="7">
        <f t="shared" si="97"/>
        <v>0.99611986176219858</v>
      </c>
    </row>
    <row r="46" spans="1:42" x14ac:dyDescent="0.5">
      <c r="A46" t="s">
        <v>240</v>
      </c>
      <c r="B46" t="s">
        <v>241</v>
      </c>
      <c r="C46" t="str">
        <f t="shared" si="98"/>
        <v>50/97/50/50/50/75</v>
      </c>
      <c r="D46">
        <v>50</v>
      </c>
      <c r="E46">
        <v>97</v>
      </c>
      <c r="F46">
        <v>50</v>
      </c>
      <c r="G46">
        <v>50</v>
      </c>
      <c r="H46">
        <v>50</v>
      </c>
      <c r="I46">
        <v>75</v>
      </c>
      <c r="J46" s="5">
        <v>4</v>
      </c>
      <c r="K46">
        <v>3.1</v>
      </c>
      <c r="L46">
        <f t="shared" si="50"/>
        <v>100000</v>
      </c>
      <c r="M46">
        <v>49842</v>
      </c>
      <c r="N46">
        <f t="shared" si="7"/>
        <v>50158</v>
      </c>
      <c r="O46">
        <v>439164</v>
      </c>
      <c r="P46">
        <v>440450</v>
      </c>
      <c r="Q46" s="5">
        <f t="shared" si="99"/>
        <v>6.05525</v>
      </c>
      <c r="R46">
        <v>121105.1</v>
      </c>
      <c r="S46">
        <v>124219</v>
      </c>
      <c r="T46">
        <v>60983</v>
      </c>
      <c r="U46">
        <v>56736</v>
      </c>
      <c r="V46">
        <v>14328</v>
      </c>
      <c r="W46">
        <v>38777</v>
      </c>
      <c r="X46">
        <v>111251</v>
      </c>
      <c r="Y46">
        <v>1.35</v>
      </c>
      <c r="Z46">
        <v>0.26300000000000001</v>
      </c>
      <c r="AA46">
        <v>0.314</v>
      </c>
      <c r="AB46" s="2">
        <f t="shared" si="1"/>
        <v>0.49841999999999997</v>
      </c>
      <c r="AC46" s="5">
        <f t="shared" si="2"/>
        <v>4.4044999999999996</v>
      </c>
      <c r="AD46" s="4">
        <f t="shared" si="87"/>
        <v>-0.22194000000000613</v>
      </c>
      <c r="AE46" s="4">
        <f t="shared" si="88"/>
        <v>-0.40378499999996542</v>
      </c>
      <c r="AF46" s="5">
        <f t="shared" si="3"/>
        <v>3.9315201273731257</v>
      </c>
      <c r="AG46" s="3">
        <f t="shared" si="4"/>
        <v>517741.11380000005</v>
      </c>
      <c r="AH46" s="2">
        <f t="shared" si="89"/>
        <v>2.7674062611791752E-2</v>
      </c>
      <c r="AI46" s="2">
        <f t="shared" si="90"/>
        <v>7.4896505157555054E-2</v>
      </c>
      <c r="AJ46" s="2">
        <f t="shared" si="91"/>
        <v>0.21487766189450336</v>
      </c>
      <c r="AK46" s="2">
        <f t="shared" si="92"/>
        <v>0.21225086644838131</v>
      </c>
      <c r="AL46" s="6">
        <f t="shared" si="93"/>
        <v>0.31792264028924982</v>
      </c>
      <c r="AM46" s="7">
        <f t="shared" si="94"/>
        <v>1.0302190734955685</v>
      </c>
      <c r="AN46" s="7">
        <f t="shared" si="95"/>
        <v>0.9947570842906952</v>
      </c>
      <c r="AO46" s="7">
        <f t="shared" si="96"/>
        <v>1.0048076262092751</v>
      </c>
      <c r="AP46" s="7">
        <f t="shared" si="97"/>
        <v>0.99433832736440653</v>
      </c>
    </row>
    <row r="47" spans="1:42" x14ac:dyDescent="0.5">
      <c r="A47" t="s">
        <v>240</v>
      </c>
      <c r="B47" t="s">
        <v>241</v>
      </c>
      <c r="C47" t="str">
        <f t="shared" si="98"/>
        <v>50/97/50/50/50/80</v>
      </c>
      <c r="D47">
        <v>50</v>
      </c>
      <c r="E47">
        <v>97</v>
      </c>
      <c r="F47">
        <v>50</v>
      </c>
      <c r="G47">
        <v>50</v>
      </c>
      <c r="H47">
        <v>50</v>
      </c>
      <c r="I47">
        <v>80</v>
      </c>
      <c r="J47" s="5">
        <v>4</v>
      </c>
      <c r="K47">
        <v>3.1</v>
      </c>
      <c r="L47">
        <f t="shared" si="50"/>
        <v>100000</v>
      </c>
      <c r="M47">
        <v>49834</v>
      </c>
      <c r="N47">
        <f t="shared" si="7"/>
        <v>50166</v>
      </c>
      <c r="O47">
        <v>437951</v>
      </c>
      <c r="P47">
        <v>438212</v>
      </c>
      <c r="Q47" s="5">
        <f t="shared" si="99"/>
        <v>6.0984499999999997</v>
      </c>
      <c r="R47">
        <v>121969.1</v>
      </c>
      <c r="S47">
        <v>125597</v>
      </c>
      <c r="T47">
        <v>61905</v>
      </c>
      <c r="U47">
        <v>57595</v>
      </c>
      <c r="V47">
        <v>14426</v>
      </c>
      <c r="W47">
        <v>39421</v>
      </c>
      <c r="X47">
        <v>111478</v>
      </c>
      <c r="Y47">
        <v>1.35</v>
      </c>
      <c r="Z47">
        <v>0.26300000000000001</v>
      </c>
      <c r="AA47">
        <v>0.314</v>
      </c>
      <c r="AB47" s="2">
        <f t="shared" si="1"/>
        <v>0.49834000000000001</v>
      </c>
      <c r="AC47" s="5">
        <f t="shared" si="2"/>
        <v>4.3821199999999996</v>
      </c>
      <c r="AD47" s="4">
        <f t="shared" si="87"/>
        <v>-0.23490000000000111</v>
      </c>
      <c r="AE47" s="4">
        <f t="shared" si="88"/>
        <v>3.2217750000000454</v>
      </c>
      <c r="AF47" s="5">
        <f t="shared" si="3"/>
        <v>3.9493983652719797</v>
      </c>
      <c r="AG47" s="3">
        <f t="shared" si="4"/>
        <v>522274.70380000002</v>
      </c>
      <c r="AH47" s="2">
        <f t="shared" si="89"/>
        <v>2.7621479453319064E-2</v>
      </c>
      <c r="AI47" s="2">
        <f t="shared" si="90"/>
        <v>7.5479435847032497E-2</v>
      </c>
      <c r="AJ47" s="2">
        <f t="shared" si="91"/>
        <v>0.21344705992632071</v>
      </c>
      <c r="AK47" s="2">
        <f t="shared" si="92"/>
        <v>0.21285924665915248</v>
      </c>
      <c r="AL47" s="6">
        <f t="shared" si="93"/>
        <v>0.31884183554774598</v>
      </c>
      <c r="AM47" s="7">
        <f t="shared" si="94"/>
        <v>1.0282615664405645</v>
      </c>
      <c r="AN47" s="7">
        <f t="shared" si="95"/>
        <v>1.0024994272984002</v>
      </c>
      <c r="AO47" s="7">
        <f t="shared" si="96"/>
        <v>0.99811786723188234</v>
      </c>
      <c r="AP47" s="7">
        <f t="shared" si="97"/>
        <v>0.99718842532302632</v>
      </c>
    </row>
  </sheetData>
  <autoFilter ref="A6:AP47" xr:uid="{B7CFF14C-E57D-493D-B178-076B4EF426E2}">
    <filterColumn colId="0">
      <filters>
        <filter val="SP"/>
      </filters>
    </filterColumn>
  </autoFilter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4C398-8EE1-476C-A82B-E54DAEB33B96}">
  <dimension ref="A1:I18"/>
  <sheetViews>
    <sheetView workbookViewId="0">
      <selection sqref="A1:I21"/>
    </sheetView>
  </sheetViews>
  <sheetFormatPr defaultRowHeight="14.35" x14ac:dyDescent="0.5"/>
  <sheetData>
    <row r="1" spans="1:9" x14ac:dyDescent="0.5">
      <c r="A1" t="s">
        <v>315</v>
      </c>
    </row>
    <row r="2" spans="1:9" ht="14.7" thickBot="1" x14ac:dyDescent="0.55000000000000004"/>
    <row r="3" spans="1:9" x14ac:dyDescent="0.5">
      <c r="A3" s="30" t="s">
        <v>316</v>
      </c>
      <c r="B3" s="30"/>
    </row>
    <row r="4" spans="1:9" x14ac:dyDescent="0.5">
      <c r="A4" t="s">
        <v>317</v>
      </c>
      <c r="B4">
        <v>0.99527233128754644</v>
      </c>
    </row>
    <row r="5" spans="1:9" x14ac:dyDescent="0.5">
      <c r="A5" t="s">
        <v>318</v>
      </c>
      <c r="B5">
        <v>0.99056701342654752</v>
      </c>
    </row>
    <row r="6" spans="1:9" x14ac:dyDescent="0.5">
      <c r="A6" t="s">
        <v>319</v>
      </c>
      <c r="B6">
        <v>0.98997745176570673</v>
      </c>
    </row>
    <row r="7" spans="1:9" x14ac:dyDescent="0.5">
      <c r="A7" t="s">
        <v>320</v>
      </c>
      <c r="B7">
        <v>0.23823265939940044</v>
      </c>
    </row>
    <row r="8" spans="1:9" ht="14.7" thickBot="1" x14ac:dyDescent="0.55000000000000004">
      <c r="A8" s="17" t="s">
        <v>321</v>
      </c>
      <c r="B8" s="17">
        <v>18</v>
      </c>
    </row>
    <row r="10" spans="1:9" ht="14.7" thickBot="1" x14ac:dyDescent="0.55000000000000004">
      <c r="A10" t="s">
        <v>322</v>
      </c>
    </row>
    <row r="11" spans="1:9" x14ac:dyDescent="0.5">
      <c r="A11" s="29"/>
      <c r="B11" s="29" t="s">
        <v>326</v>
      </c>
      <c r="C11" s="29" t="s">
        <v>110</v>
      </c>
      <c r="D11" s="29" t="s">
        <v>327</v>
      </c>
      <c r="E11" s="29" t="s">
        <v>328</v>
      </c>
      <c r="F11" s="29" t="s">
        <v>329</v>
      </c>
    </row>
    <row r="12" spans="1:9" x14ac:dyDescent="0.5">
      <c r="A12" t="s">
        <v>323</v>
      </c>
      <c r="B12">
        <v>1</v>
      </c>
      <c r="C12">
        <v>95.358020156727662</v>
      </c>
      <c r="D12">
        <v>95.358020156727662</v>
      </c>
      <c r="E12">
        <v>1680.1754239139038</v>
      </c>
      <c r="F12">
        <v>1.2362916077462488E-17</v>
      </c>
    </row>
    <row r="13" spans="1:9" x14ac:dyDescent="0.5">
      <c r="A13" t="s">
        <v>324</v>
      </c>
      <c r="B13">
        <v>16</v>
      </c>
      <c r="C13">
        <v>0.90807680007217184</v>
      </c>
      <c r="D13">
        <v>5.675480000451074E-2</v>
      </c>
    </row>
    <row r="14" spans="1:9" ht="14.7" thickBot="1" x14ac:dyDescent="0.55000000000000004">
      <c r="A14" s="17" t="s">
        <v>325</v>
      </c>
      <c r="B14" s="17">
        <v>17</v>
      </c>
      <c r="C14" s="17">
        <v>96.266096956799828</v>
      </c>
      <c r="D14" s="17"/>
      <c r="E14" s="17"/>
      <c r="F14" s="17"/>
    </row>
    <row r="15" spans="1:9" ht="14.7" thickBot="1" x14ac:dyDescent="0.55000000000000004"/>
    <row r="16" spans="1:9" x14ac:dyDescent="0.5">
      <c r="A16" s="29"/>
      <c r="B16" s="29" t="s">
        <v>330</v>
      </c>
      <c r="C16" s="29" t="s">
        <v>320</v>
      </c>
      <c r="D16" s="29" t="s">
        <v>331</v>
      </c>
      <c r="E16" s="29" t="s">
        <v>332</v>
      </c>
      <c r="F16" s="29" t="s">
        <v>333</v>
      </c>
      <c r="G16" s="29" t="s">
        <v>334</v>
      </c>
      <c r="H16" s="29" t="s">
        <v>335</v>
      </c>
      <c r="I16" s="29" t="s">
        <v>336</v>
      </c>
    </row>
    <row r="17" spans="1:9" x14ac:dyDescent="0.5">
      <c r="A17" t="s">
        <v>109</v>
      </c>
      <c r="B17">
        <v>3.0555508995651237E-2</v>
      </c>
      <c r="C17">
        <v>5.6187163271123504E-2</v>
      </c>
      <c r="D17">
        <v>0.54381654486114184</v>
      </c>
      <c r="E17">
        <v>0.59406511397458206</v>
      </c>
      <c r="F17">
        <v>-8.8555956171013347E-2</v>
      </c>
      <c r="G17">
        <v>0.14966697416231584</v>
      </c>
      <c r="H17">
        <v>-8.8555956171013347E-2</v>
      </c>
      <c r="I17">
        <v>0.14966697416231584</v>
      </c>
    </row>
    <row r="18" spans="1:9" ht="14.7" thickBot="1" x14ac:dyDescent="0.55000000000000004">
      <c r="A18" s="17" t="s">
        <v>111</v>
      </c>
      <c r="B18" s="17">
        <v>0.1077341648432161</v>
      </c>
      <c r="C18" s="17">
        <v>2.6283072642172296E-3</v>
      </c>
      <c r="D18" s="17">
        <v>40.989942960608076</v>
      </c>
      <c r="E18" s="17">
        <v>1.2362916077462488E-17</v>
      </c>
      <c r="F18" s="17">
        <v>0.10216240234582027</v>
      </c>
      <c r="G18" s="17">
        <v>0.11330592734061193</v>
      </c>
      <c r="H18" s="17">
        <v>0.10216240234582027</v>
      </c>
      <c r="I18" s="17">
        <v>0.11330592734061193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F32DF-F4FC-409F-B507-4F8D633813C4}">
  <dimension ref="A1:I18"/>
  <sheetViews>
    <sheetView workbookViewId="0">
      <selection activeCell="D17" sqref="D17"/>
    </sheetView>
  </sheetViews>
  <sheetFormatPr defaultRowHeight="14.35" x14ac:dyDescent="0.5"/>
  <sheetData>
    <row r="1" spans="1:9" x14ac:dyDescent="0.5">
      <c r="A1" t="s">
        <v>315</v>
      </c>
    </row>
    <row r="2" spans="1:9" ht="14.7" thickBot="1" x14ac:dyDescent="0.55000000000000004"/>
    <row r="3" spans="1:9" x14ac:dyDescent="0.5">
      <c r="A3" s="30" t="s">
        <v>316</v>
      </c>
      <c r="B3" s="30"/>
    </row>
    <row r="4" spans="1:9" x14ac:dyDescent="0.5">
      <c r="A4" t="s">
        <v>317</v>
      </c>
      <c r="B4">
        <v>0.9939646874198379</v>
      </c>
    </row>
    <row r="5" spans="1:9" x14ac:dyDescent="0.5">
      <c r="A5" t="s">
        <v>318</v>
      </c>
      <c r="B5">
        <v>0.98796579983761612</v>
      </c>
    </row>
    <row r="6" spans="1:9" x14ac:dyDescent="0.5">
      <c r="A6" t="s">
        <v>319</v>
      </c>
      <c r="B6">
        <v>0.98646152481731808</v>
      </c>
    </row>
    <row r="7" spans="1:9" x14ac:dyDescent="0.5">
      <c r="A7" t="s">
        <v>320</v>
      </c>
      <c r="B7">
        <v>0.31204111572284277</v>
      </c>
    </row>
    <row r="8" spans="1:9" ht="14.7" thickBot="1" x14ac:dyDescent="0.55000000000000004">
      <c r="A8" s="17" t="s">
        <v>321</v>
      </c>
      <c r="B8" s="17">
        <v>10</v>
      </c>
    </row>
    <row r="10" spans="1:9" ht="14.7" thickBot="1" x14ac:dyDescent="0.55000000000000004">
      <c r="A10" t="s">
        <v>322</v>
      </c>
    </row>
    <row r="11" spans="1:9" x14ac:dyDescent="0.5">
      <c r="A11" s="29"/>
      <c r="B11" s="29" t="s">
        <v>326</v>
      </c>
      <c r="C11" s="29" t="s">
        <v>110</v>
      </c>
      <c r="D11" s="29" t="s">
        <v>327</v>
      </c>
      <c r="E11" s="29" t="s">
        <v>328</v>
      </c>
      <c r="F11" s="29" t="s">
        <v>329</v>
      </c>
    </row>
    <row r="12" spans="1:9" x14ac:dyDescent="0.5">
      <c r="A12" t="s">
        <v>323</v>
      </c>
      <c r="B12">
        <v>1</v>
      </c>
      <c r="C12">
        <v>63.949670539347572</v>
      </c>
      <c r="D12">
        <v>63.949670539347572</v>
      </c>
      <c r="E12">
        <v>656.77205730765206</v>
      </c>
      <c r="F12">
        <v>5.7627306460166954E-9</v>
      </c>
    </row>
    <row r="13" spans="1:9" x14ac:dyDescent="0.5">
      <c r="A13" t="s">
        <v>324</v>
      </c>
      <c r="B13">
        <v>8</v>
      </c>
      <c r="C13">
        <v>0.7789572632124524</v>
      </c>
      <c r="D13">
        <v>9.736965790155655E-2</v>
      </c>
    </row>
    <row r="14" spans="1:9" ht="14.7" thickBot="1" x14ac:dyDescent="0.55000000000000004">
      <c r="A14" s="17" t="s">
        <v>325</v>
      </c>
      <c r="B14" s="17">
        <v>9</v>
      </c>
      <c r="C14" s="17">
        <v>64.728627802560027</v>
      </c>
      <c r="D14" s="17"/>
      <c r="E14" s="17"/>
      <c r="F14" s="17"/>
    </row>
    <row r="15" spans="1:9" ht="14.7" thickBot="1" x14ac:dyDescent="0.55000000000000004"/>
    <row r="16" spans="1:9" x14ac:dyDescent="0.5">
      <c r="A16" s="29"/>
      <c r="B16" s="29" t="s">
        <v>330</v>
      </c>
      <c r="C16" s="29" t="s">
        <v>320</v>
      </c>
      <c r="D16" s="29" t="s">
        <v>331</v>
      </c>
      <c r="E16" s="29" t="s">
        <v>332</v>
      </c>
      <c r="F16" s="29" t="s">
        <v>333</v>
      </c>
      <c r="G16" s="29" t="s">
        <v>334</v>
      </c>
      <c r="H16" s="29" t="s">
        <v>335</v>
      </c>
      <c r="I16" s="29" t="s">
        <v>336</v>
      </c>
    </row>
    <row r="17" spans="1:9" x14ac:dyDescent="0.5">
      <c r="A17" t="s">
        <v>109</v>
      </c>
      <c r="B17">
        <v>0.15660206298680418</v>
      </c>
      <c r="C17">
        <v>0.10130514703379834</v>
      </c>
      <c r="D17">
        <v>1.5458450786765769</v>
      </c>
      <c r="E17">
        <v>0.16072548119185337</v>
      </c>
      <c r="F17">
        <v>-7.7008024990600943E-2</v>
      </c>
      <c r="G17">
        <v>0.3902121509642093</v>
      </c>
      <c r="H17">
        <v>-7.7008024990600943E-2</v>
      </c>
      <c r="I17">
        <v>0.3902121509642093</v>
      </c>
    </row>
    <row r="18" spans="1:9" ht="14.7" thickBot="1" x14ac:dyDescent="0.55000000000000004">
      <c r="A18" s="17" t="s">
        <v>111</v>
      </c>
      <c r="B18" s="17">
        <v>0.1042900234173432</v>
      </c>
      <c r="C18" s="17">
        <v>4.0694473251996852E-3</v>
      </c>
      <c r="D18" s="17">
        <v>25.627564404516711</v>
      </c>
      <c r="E18" s="17">
        <v>5.7627306460166954E-9</v>
      </c>
      <c r="F18" s="17">
        <v>9.4905861057437188E-2</v>
      </c>
      <c r="G18" s="17">
        <v>0.11367418577724921</v>
      </c>
      <c r="H18" s="17">
        <v>9.4905861057437188E-2</v>
      </c>
      <c r="I18" s="17">
        <v>0.11367418577724921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BF80D-E30C-4676-9FC2-96FCCF58FF6F}">
  <dimension ref="A1:I18"/>
  <sheetViews>
    <sheetView workbookViewId="0">
      <selection sqref="A1:I21"/>
    </sheetView>
  </sheetViews>
  <sheetFormatPr defaultRowHeight="14.35" x14ac:dyDescent="0.5"/>
  <sheetData>
    <row r="1" spans="1:9" x14ac:dyDescent="0.5">
      <c r="A1" t="s">
        <v>315</v>
      </c>
    </row>
    <row r="2" spans="1:9" ht="14.7" thickBot="1" x14ac:dyDescent="0.55000000000000004"/>
    <row r="3" spans="1:9" x14ac:dyDescent="0.5">
      <c r="A3" s="30" t="s">
        <v>316</v>
      </c>
      <c r="B3" s="30"/>
    </row>
    <row r="4" spans="1:9" x14ac:dyDescent="0.5">
      <c r="A4" t="s">
        <v>317</v>
      </c>
      <c r="B4">
        <v>0.99568778765550692</v>
      </c>
    </row>
    <row r="5" spans="1:9" x14ac:dyDescent="0.5">
      <c r="A5" t="s">
        <v>318</v>
      </c>
      <c r="B5">
        <v>0.99139417048631784</v>
      </c>
    </row>
    <row r="6" spans="1:9" x14ac:dyDescent="0.5">
      <c r="A6" t="s">
        <v>319</v>
      </c>
      <c r="B6">
        <v>0.99129292543321568</v>
      </c>
    </row>
    <row r="7" spans="1:9" x14ac:dyDescent="0.5">
      <c r="A7" t="s">
        <v>320</v>
      </c>
      <c r="B7">
        <v>0.20737254390929941</v>
      </c>
    </row>
    <row r="8" spans="1:9" ht="14.7" thickBot="1" x14ac:dyDescent="0.55000000000000004">
      <c r="A8" s="17" t="s">
        <v>321</v>
      </c>
      <c r="B8" s="17">
        <v>87</v>
      </c>
    </row>
    <row r="10" spans="1:9" ht="14.7" thickBot="1" x14ac:dyDescent="0.55000000000000004">
      <c r="A10" t="s">
        <v>322</v>
      </c>
    </row>
    <row r="11" spans="1:9" x14ac:dyDescent="0.5">
      <c r="A11" s="29"/>
      <c r="B11" s="29" t="s">
        <v>326</v>
      </c>
      <c r="C11" s="29" t="s">
        <v>110</v>
      </c>
      <c r="D11" s="29" t="s">
        <v>327</v>
      </c>
      <c r="E11" s="29" t="s">
        <v>328</v>
      </c>
      <c r="F11" s="29" t="s">
        <v>329</v>
      </c>
    </row>
    <row r="12" spans="1:9" x14ac:dyDescent="0.5">
      <c r="A12" t="s">
        <v>323</v>
      </c>
      <c r="B12">
        <v>1</v>
      </c>
      <c r="C12">
        <v>421.09012710712824</v>
      </c>
      <c r="D12">
        <v>421.09012710712824</v>
      </c>
      <c r="E12">
        <v>9792.0257840759132</v>
      </c>
      <c r="F12">
        <v>1.4671623148041666E-89</v>
      </c>
    </row>
    <row r="13" spans="1:9" x14ac:dyDescent="0.5">
      <c r="A13" t="s">
        <v>324</v>
      </c>
      <c r="B13">
        <v>85</v>
      </c>
      <c r="C13">
        <v>3.6552866172302161</v>
      </c>
      <c r="D13">
        <v>4.3003371967414307E-2</v>
      </c>
    </row>
    <row r="14" spans="1:9" ht="14.7" thickBot="1" x14ac:dyDescent="0.55000000000000004">
      <c r="A14" s="17" t="s">
        <v>325</v>
      </c>
      <c r="B14" s="17">
        <v>86</v>
      </c>
      <c r="C14" s="17">
        <v>424.74541372435846</v>
      </c>
      <c r="D14" s="17"/>
      <c r="E14" s="17"/>
      <c r="F14" s="17"/>
    </row>
    <row r="15" spans="1:9" ht="14.7" thickBot="1" x14ac:dyDescent="0.55000000000000004"/>
    <row r="16" spans="1:9" x14ac:dyDescent="0.5">
      <c r="A16" s="29"/>
      <c r="B16" s="29" t="s">
        <v>330</v>
      </c>
      <c r="C16" s="29" t="s">
        <v>320</v>
      </c>
      <c r="D16" s="29" t="s">
        <v>331</v>
      </c>
      <c r="E16" s="29" t="s">
        <v>332</v>
      </c>
      <c r="F16" s="29" t="s">
        <v>333</v>
      </c>
      <c r="G16" s="29" t="s">
        <v>334</v>
      </c>
      <c r="H16" s="29" t="s">
        <v>335</v>
      </c>
      <c r="I16" s="29" t="s">
        <v>336</v>
      </c>
    </row>
    <row r="17" spans="1:9" x14ac:dyDescent="0.5">
      <c r="A17" t="s">
        <v>109</v>
      </c>
      <c r="B17">
        <v>6.4680919352492233E-2</v>
      </c>
      <c r="C17">
        <v>2.2258190371968696E-2</v>
      </c>
      <c r="D17">
        <v>2.905937916406244</v>
      </c>
      <c r="E17">
        <v>4.6673385573422011E-3</v>
      </c>
      <c r="F17">
        <v>2.0425673757388317E-2</v>
      </c>
      <c r="G17">
        <v>0.10893616494759614</v>
      </c>
      <c r="H17">
        <v>2.0425673757388317E-2</v>
      </c>
      <c r="I17">
        <v>0.10893616494759614</v>
      </c>
    </row>
    <row r="18" spans="1:9" ht="14.7" thickBot="1" x14ac:dyDescent="0.55000000000000004">
      <c r="A18" s="17" t="s">
        <v>111</v>
      </c>
      <c r="B18" s="17">
        <v>0.10553732043964736</v>
      </c>
      <c r="C18" s="17">
        <v>1.0665219282254533E-3</v>
      </c>
      <c r="D18" s="17">
        <v>98.954665297174941</v>
      </c>
      <c r="E18" s="17">
        <v>1.4671623148041249E-89</v>
      </c>
      <c r="F18" s="17">
        <v>0.10341678911713596</v>
      </c>
      <c r="G18" s="17">
        <v>0.10765785176215877</v>
      </c>
      <c r="H18" s="17">
        <v>0.10341678911713596</v>
      </c>
      <c r="I18" s="17">
        <v>0.10765785176215877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EB97F-CAFC-48AF-902D-BFCE24B9AA6E}">
  <dimension ref="A1:P89"/>
  <sheetViews>
    <sheetView topLeftCell="A59" workbookViewId="0">
      <selection activeCell="R8" sqref="R8"/>
    </sheetView>
  </sheetViews>
  <sheetFormatPr defaultRowHeight="14.35" x14ac:dyDescent="0.5"/>
  <sheetData>
    <row r="1" spans="1:16" x14ac:dyDescent="0.5">
      <c r="H1" t="s">
        <v>48</v>
      </c>
      <c r="I1" t="s">
        <v>48</v>
      </c>
      <c r="J1" t="s">
        <v>48</v>
      </c>
      <c r="K1" t="s">
        <v>48</v>
      </c>
      <c r="L1" t="s">
        <v>48</v>
      </c>
      <c r="M1" t="s">
        <v>48</v>
      </c>
      <c r="N1" t="s">
        <v>48</v>
      </c>
      <c r="O1" t="s">
        <v>48</v>
      </c>
      <c r="P1" t="s">
        <v>48</v>
      </c>
    </row>
    <row r="2" spans="1:16" x14ac:dyDescent="0.5">
      <c r="A2" t="s">
        <v>160</v>
      </c>
      <c r="B2" t="s">
        <v>167</v>
      </c>
      <c r="C2" t="s">
        <v>172</v>
      </c>
      <c r="D2" t="s">
        <v>173</v>
      </c>
      <c r="E2" t="s">
        <v>168</v>
      </c>
      <c r="F2" t="s">
        <v>169</v>
      </c>
      <c r="G2" t="s">
        <v>166</v>
      </c>
      <c r="H2" t="s">
        <v>40</v>
      </c>
      <c r="I2" t="s">
        <v>41</v>
      </c>
      <c r="J2" t="s">
        <v>161</v>
      </c>
      <c r="K2" t="s">
        <v>162</v>
      </c>
      <c r="L2" t="s">
        <v>44</v>
      </c>
      <c r="M2" t="s">
        <v>170</v>
      </c>
      <c r="N2" t="s">
        <v>163</v>
      </c>
      <c r="O2" t="s">
        <v>46</v>
      </c>
      <c r="P2" t="s">
        <v>164</v>
      </c>
    </row>
    <row r="3" spans="1:16" x14ac:dyDescent="0.5">
      <c r="A3" t="s">
        <v>245</v>
      </c>
      <c r="B3" t="s">
        <v>248</v>
      </c>
      <c r="C3">
        <v>20</v>
      </c>
      <c r="D3">
        <v>20</v>
      </c>
      <c r="E3">
        <v>20</v>
      </c>
      <c r="G3">
        <v>100000</v>
      </c>
      <c r="H3">
        <v>46751</v>
      </c>
      <c r="I3">
        <v>53249</v>
      </c>
      <c r="J3">
        <v>413786</v>
      </c>
      <c r="K3">
        <v>444647</v>
      </c>
      <c r="L3">
        <v>0.46750999999999998</v>
      </c>
      <c r="M3">
        <v>4.1378599999999999</v>
      </c>
      <c r="N3">
        <v>4.4464699999999997</v>
      </c>
      <c r="O3">
        <v>-5.1753600000000022</v>
      </c>
      <c r="P3">
        <v>-47.105279999999965</v>
      </c>
    </row>
    <row r="4" spans="1:16" x14ac:dyDescent="0.5">
      <c r="A4" t="s">
        <v>245</v>
      </c>
      <c r="B4" t="s">
        <v>249</v>
      </c>
      <c r="C4">
        <v>80</v>
      </c>
      <c r="D4">
        <v>80</v>
      </c>
      <c r="E4">
        <v>80</v>
      </c>
      <c r="G4">
        <v>100000</v>
      </c>
      <c r="H4">
        <v>51038</v>
      </c>
      <c r="I4">
        <v>48962</v>
      </c>
      <c r="J4">
        <v>414656</v>
      </c>
      <c r="K4">
        <v>406109</v>
      </c>
      <c r="L4">
        <v>0.51037999999999994</v>
      </c>
      <c r="M4">
        <v>4.14656</v>
      </c>
      <c r="N4">
        <v>4.0610900000000001</v>
      </c>
      <c r="O4">
        <v>1.7695799999999922</v>
      </c>
      <c r="P4">
        <v>15.326279999999974</v>
      </c>
    </row>
    <row r="5" spans="1:16" x14ac:dyDescent="0.5">
      <c r="A5" t="s">
        <v>245</v>
      </c>
      <c r="B5" t="s">
        <v>250</v>
      </c>
      <c r="C5">
        <v>55</v>
      </c>
      <c r="D5">
        <v>20</v>
      </c>
      <c r="E5">
        <v>55</v>
      </c>
      <c r="G5">
        <v>100000</v>
      </c>
      <c r="H5">
        <v>47454</v>
      </c>
      <c r="I5">
        <v>52546</v>
      </c>
      <c r="J5">
        <v>414960</v>
      </c>
      <c r="K5">
        <v>439159</v>
      </c>
      <c r="L5">
        <v>0.47454000000000002</v>
      </c>
      <c r="M5">
        <v>4.1496000000000004</v>
      </c>
      <c r="N5">
        <v>4.3915899999999999</v>
      </c>
      <c r="O5">
        <v>-4.0364999999999958</v>
      </c>
      <c r="P5">
        <v>-38.214719999999993</v>
      </c>
    </row>
    <row r="6" spans="1:16" x14ac:dyDescent="0.5">
      <c r="A6" t="s">
        <v>245</v>
      </c>
      <c r="B6" t="s">
        <v>251</v>
      </c>
      <c r="C6">
        <v>55</v>
      </c>
      <c r="D6">
        <v>30</v>
      </c>
      <c r="E6">
        <v>55</v>
      </c>
      <c r="G6">
        <v>100000</v>
      </c>
      <c r="H6">
        <v>47887</v>
      </c>
      <c r="I6">
        <v>52113</v>
      </c>
      <c r="J6">
        <v>415867</v>
      </c>
      <c r="K6">
        <v>436120</v>
      </c>
      <c r="L6">
        <v>0.47887000000000002</v>
      </c>
      <c r="M6">
        <v>4.1586699999999999</v>
      </c>
      <c r="N6">
        <v>4.3612000000000002</v>
      </c>
      <c r="O6">
        <v>-3.3350399999999958</v>
      </c>
      <c r="P6">
        <v>-33.29154000000004</v>
      </c>
    </row>
    <row r="7" spans="1:16" x14ac:dyDescent="0.5">
      <c r="A7" t="s">
        <v>245</v>
      </c>
      <c r="B7" t="s">
        <v>252</v>
      </c>
      <c r="C7">
        <v>55</v>
      </c>
      <c r="D7">
        <v>40</v>
      </c>
      <c r="E7">
        <v>55</v>
      </c>
      <c r="G7">
        <v>100000</v>
      </c>
      <c r="H7">
        <v>48684</v>
      </c>
      <c r="I7">
        <v>51316</v>
      </c>
      <c r="J7">
        <v>415923</v>
      </c>
      <c r="K7">
        <v>427999</v>
      </c>
      <c r="L7">
        <v>0.48683999999999999</v>
      </c>
      <c r="M7">
        <v>4.15923</v>
      </c>
      <c r="N7">
        <v>4.2799899999999997</v>
      </c>
      <c r="O7">
        <v>-2.0438999999999998</v>
      </c>
      <c r="P7">
        <v>-20.135519999999971</v>
      </c>
    </row>
    <row r="8" spans="1:16" x14ac:dyDescent="0.5">
      <c r="A8" t="s">
        <v>245</v>
      </c>
      <c r="B8" t="s">
        <v>253</v>
      </c>
      <c r="C8">
        <v>55</v>
      </c>
      <c r="D8">
        <v>45</v>
      </c>
      <c r="E8">
        <v>55</v>
      </c>
      <c r="G8">
        <v>100000</v>
      </c>
      <c r="H8">
        <v>49145</v>
      </c>
      <c r="I8">
        <v>50855</v>
      </c>
      <c r="J8">
        <v>416235</v>
      </c>
      <c r="K8">
        <v>423283</v>
      </c>
      <c r="L8">
        <v>0.49145</v>
      </c>
      <c r="M8">
        <v>4.16235</v>
      </c>
      <c r="N8">
        <v>4.2328299999999999</v>
      </c>
      <c r="O8">
        <v>-1.2970799999999993</v>
      </c>
      <c r="P8">
        <v>-12.495599999999991</v>
      </c>
    </row>
    <row r="9" spans="1:16" x14ac:dyDescent="0.5">
      <c r="A9" t="s">
        <v>245</v>
      </c>
      <c r="B9" t="s">
        <v>254</v>
      </c>
      <c r="C9">
        <v>55</v>
      </c>
      <c r="D9">
        <v>50</v>
      </c>
      <c r="E9">
        <v>55</v>
      </c>
      <c r="G9">
        <v>100000</v>
      </c>
      <c r="H9">
        <v>49933</v>
      </c>
      <c r="I9">
        <v>50067</v>
      </c>
      <c r="J9">
        <v>416983</v>
      </c>
      <c r="K9">
        <v>418313</v>
      </c>
      <c r="L9">
        <v>0.49933</v>
      </c>
      <c r="M9">
        <v>4.1698300000000001</v>
      </c>
      <c r="N9">
        <v>4.1831300000000002</v>
      </c>
      <c r="O9">
        <v>-2.0519999999999539E-2</v>
      </c>
      <c r="P9">
        <v>-4.4442000000000501</v>
      </c>
    </row>
    <row r="10" spans="1:16" x14ac:dyDescent="0.5">
      <c r="A10" t="s">
        <v>245</v>
      </c>
      <c r="B10" t="s">
        <v>255</v>
      </c>
      <c r="C10">
        <v>55</v>
      </c>
      <c r="D10">
        <v>60</v>
      </c>
      <c r="E10">
        <v>55</v>
      </c>
      <c r="G10">
        <v>100000</v>
      </c>
      <c r="H10">
        <v>50419</v>
      </c>
      <c r="I10">
        <v>49581</v>
      </c>
      <c r="J10">
        <v>416968</v>
      </c>
      <c r="K10">
        <v>412370</v>
      </c>
      <c r="L10">
        <v>0.50419000000000003</v>
      </c>
      <c r="M10">
        <v>4.1696799999999996</v>
      </c>
      <c r="N10">
        <v>4.1237000000000004</v>
      </c>
      <c r="O10">
        <v>0.76680000000000548</v>
      </c>
      <c r="P10">
        <v>5.1834599999999291</v>
      </c>
    </row>
    <row r="11" spans="1:16" x14ac:dyDescent="0.5">
      <c r="A11" t="s">
        <v>245</v>
      </c>
      <c r="B11" t="s">
        <v>256</v>
      </c>
      <c r="C11">
        <v>55</v>
      </c>
      <c r="D11">
        <v>65</v>
      </c>
      <c r="E11">
        <v>55</v>
      </c>
      <c r="G11">
        <v>100000</v>
      </c>
      <c r="H11">
        <v>50664</v>
      </c>
      <c r="I11">
        <v>49336</v>
      </c>
      <c r="J11">
        <v>415568</v>
      </c>
      <c r="K11">
        <v>409859</v>
      </c>
      <c r="L11">
        <v>0.50663999999999998</v>
      </c>
      <c r="M11">
        <v>4.1556800000000003</v>
      </c>
      <c r="N11">
        <v>4.0985899999999997</v>
      </c>
      <c r="O11">
        <v>1.1636999999999977</v>
      </c>
      <c r="P11">
        <v>9.2512800000000315</v>
      </c>
    </row>
    <row r="12" spans="1:16" x14ac:dyDescent="0.5">
      <c r="A12" t="s">
        <v>245</v>
      </c>
      <c r="B12" t="s">
        <v>257</v>
      </c>
      <c r="C12">
        <v>55</v>
      </c>
      <c r="D12">
        <v>70</v>
      </c>
      <c r="E12">
        <v>55</v>
      </c>
      <c r="G12">
        <v>100000</v>
      </c>
      <c r="H12">
        <v>50339</v>
      </c>
      <c r="I12">
        <v>49661</v>
      </c>
      <c r="J12">
        <v>414243</v>
      </c>
      <c r="K12">
        <v>410691</v>
      </c>
      <c r="L12">
        <v>0.50339</v>
      </c>
      <c r="M12">
        <v>4.1424300000000001</v>
      </c>
      <c r="N12">
        <v>4.1069100000000001</v>
      </c>
      <c r="O12">
        <v>0.63720000000000176</v>
      </c>
      <c r="P12">
        <v>7.9034399999999785</v>
      </c>
    </row>
    <row r="13" spans="1:16" x14ac:dyDescent="0.5">
      <c r="A13" t="s">
        <v>245</v>
      </c>
      <c r="B13" t="s">
        <v>258</v>
      </c>
      <c r="C13">
        <v>55</v>
      </c>
      <c r="D13">
        <v>80</v>
      </c>
      <c r="E13">
        <v>55</v>
      </c>
      <c r="G13">
        <v>100000</v>
      </c>
      <c r="H13">
        <v>50542</v>
      </c>
      <c r="I13">
        <v>49458</v>
      </c>
      <c r="J13">
        <v>414913</v>
      </c>
      <c r="K13">
        <v>410988</v>
      </c>
      <c r="L13">
        <v>0.50541999999999998</v>
      </c>
      <c r="M13">
        <v>4.1491300000000004</v>
      </c>
      <c r="N13">
        <v>4.1098800000000004</v>
      </c>
      <c r="O13">
        <v>0.96605999999999792</v>
      </c>
      <c r="P13">
        <v>7.42229999999992</v>
      </c>
    </row>
    <row r="14" spans="1:16" x14ac:dyDescent="0.5">
      <c r="A14" t="s">
        <v>171</v>
      </c>
      <c r="B14" t="s">
        <v>259</v>
      </c>
      <c r="C14">
        <v>20</v>
      </c>
      <c r="D14">
        <v>20</v>
      </c>
      <c r="E14">
        <v>20</v>
      </c>
      <c r="F14">
        <v>20</v>
      </c>
      <c r="G14">
        <v>100000</v>
      </c>
      <c r="H14">
        <v>49736</v>
      </c>
      <c r="I14">
        <v>50264</v>
      </c>
      <c r="J14">
        <v>415773</v>
      </c>
      <c r="K14">
        <v>417744</v>
      </c>
      <c r="L14">
        <v>0.49736000000000002</v>
      </c>
      <c r="M14">
        <v>4.1577299999999999</v>
      </c>
      <c r="N14">
        <v>4.1774399999999998</v>
      </c>
      <c r="O14">
        <v>-0.33965999999999497</v>
      </c>
      <c r="P14">
        <v>-3.5224199999999826</v>
      </c>
    </row>
    <row r="15" spans="1:16" x14ac:dyDescent="0.5">
      <c r="A15" t="s">
        <v>171</v>
      </c>
      <c r="B15" t="s">
        <v>260</v>
      </c>
      <c r="C15">
        <v>80</v>
      </c>
      <c r="D15">
        <v>80</v>
      </c>
      <c r="E15">
        <v>80</v>
      </c>
      <c r="F15">
        <v>80</v>
      </c>
      <c r="G15">
        <v>100000</v>
      </c>
      <c r="H15">
        <v>50623</v>
      </c>
      <c r="I15">
        <v>49377</v>
      </c>
      <c r="J15">
        <v>415236</v>
      </c>
      <c r="K15">
        <v>409497</v>
      </c>
      <c r="L15">
        <v>0.50622999999999996</v>
      </c>
      <c r="M15">
        <v>4.1523599999999998</v>
      </c>
      <c r="N15">
        <v>4.09497</v>
      </c>
      <c r="O15">
        <v>1.0972799999999943</v>
      </c>
      <c r="P15">
        <v>9.8377199999999885</v>
      </c>
    </row>
    <row r="16" spans="1:16" x14ac:dyDescent="0.5">
      <c r="A16" t="s">
        <v>5</v>
      </c>
      <c r="B16" t="s">
        <v>259</v>
      </c>
      <c r="C16">
        <v>20</v>
      </c>
      <c r="D16">
        <v>20</v>
      </c>
      <c r="E16">
        <v>20</v>
      </c>
      <c r="F16">
        <v>20</v>
      </c>
      <c r="G16">
        <v>100000</v>
      </c>
      <c r="H16">
        <v>46275</v>
      </c>
      <c r="I16">
        <v>53725</v>
      </c>
      <c r="J16">
        <v>414601</v>
      </c>
      <c r="K16">
        <v>451988</v>
      </c>
      <c r="L16">
        <v>0.46274999999999999</v>
      </c>
      <c r="M16">
        <v>4.1460100000000004</v>
      </c>
      <c r="N16">
        <v>4.5198799999999997</v>
      </c>
      <c r="O16">
        <v>-5.9464799999999993</v>
      </c>
      <c r="P16">
        <v>-58.997699999999959</v>
      </c>
    </row>
    <row r="17" spans="1:16" x14ac:dyDescent="0.5">
      <c r="A17" t="s">
        <v>5</v>
      </c>
      <c r="B17" t="s">
        <v>260</v>
      </c>
      <c r="C17">
        <v>80</v>
      </c>
      <c r="D17">
        <v>80</v>
      </c>
      <c r="E17">
        <v>80</v>
      </c>
      <c r="F17">
        <v>80</v>
      </c>
      <c r="G17">
        <v>100000</v>
      </c>
      <c r="H17">
        <v>50523</v>
      </c>
      <c r="I17">
        <v>49477</v>
      </c>
      <c r="J17">
        <v>415708</v>
      </c>
      <c r="K17">
        <v>410767</v>
      </c>
      <c r="L17">
        <v>0.50522999999999996</v>
      </c>
      <c r="M17">
        <v>4.1570799999999997</v>
      </c>
      <c r="N17">
        <v>4.1076699999999997</v>
      </c>
      <c r="O17">
        <v>0.93527999999999412</v>
      </c>
      <c r="P17">
        <v>7.7803200000000352</v>
      </c>
    </row>
    <row r="18" spans="1:16" x14ac:dyDescent="0.5">
      <c r="A18" t="s">
        <v>5</v>
      </c>
      <c r="B18" t="s">
        <v>261</v>
      </c>
      <c r="C18">
        <v>20</v>
      </c>
      <c r="D18">
        <v>55</v>
      </c>
      <c r="E18">
        <v>50</v>
      </c>
      <c r="F18">
        <v>55</v>
      </c>
      <c r="G18">
        <v>100000</v>
      </c>
      <c r="H18">
        <v>47665</v>
      </c>
      <c r="I18">
        <v>52335</v>
      </c>
      <c r="J18">
        <v>416656</v>
      </c>
      <c r="K18">
        <v>438463</v>
      </c>
      <c r="L18">
        <v>0.47665000000000002</v>
      </c>
      <c r="M18">
        <v>4.1665599999999996</v>
      </c>
      <c r="N18">
        <v>4.3846299999999996</v>
      </c>
      <c r="O18">
        <v>-3.694679999999996</v>
      </c>
      <c r="P18">
        <v>-37.087199999999946</v>
      </c>
    </row>
    <row r="19" spans="1:16" x14ac:dyDescent="0.5">
      <c r="A19" t="s">
        <v>5</v>
      </c>
      <c r="B19" t="s">
        <v>262</v>
      </c>
      <c r="C19">
        <v>40</v>
      </c>
      <c r="D19">
        <v>55</v>
      </c>
      <c r="E19">
        <v>50</v>
      </c>
      <c r="F19">
        <v>55</v>
      </c>
      <c r="G19">
        <v>100000</v>
      </c>
      <c r="H19">
        <v>47778</v>
      </c>
      <c r="I19">
        <v>52222</v>
      </c>
      <c r="J19">
        <v>413683</v>
      </c>
      <c r="K19">
        <v>435437</v>
      </c>
      <c r="L19">
        <v>0.47777999999999998</v>
      </c>
      <c r="M19">
        <v>4.1368299999999998</v>
      </c>
      <c r="N19">
        <v>4.3543700000000003</v>
      </c>
      <c r="O19">
        <v>-3.5116200000000015</v>
      </c>
      <c r="P19">
        <v>-32.185080000000056</v>
      </c>
    </row>
    <row r="20" spans="1:16" x14ac:dyDescent="0.5">
      <c r="A20" t="s">
        <v>5</v>
      </c>
      <c r="B20" t="s">
        <v>263</v>
      </c>
      <c r="C20">
        <v>50</v>
      </c>
      <c r="D20">
        <v>55</v>
      </c>
      <c r="E20">
        <v>50</v>
      </c>
      <c r="F20">
        <v>55</v>
      </c>
      <c r="G20">
        <v>100000</v>
      </c>
      <c r="H20">
        <v>48526</v>
      </c>
      <c r="I20">
        <v>51474</v>
      </c>
      <c r="J20">
        <v>415551</v>
      </c>
      <c r="K20">
        <v>431220</v>
      </c>
      <c r="L20">
        <v>0.48526000000000002</v>
      </c>
      <c r="M20">
        <v>4.1555099999999996</v>
      </c>
      <c r="N20">
        <v>4.3121999999999998</v>
      </c>
      <c r="O20">
        <v>-2.2998599999999949</v>
      </c>
      <c r="P20">
        <v>-25.353539999999981</v>
      </c>
    </row>
    <row r="21" spans="1:16" x14ac:dyDescent="0.5">
      <c r="A21" t="s">
        <v>5</v>
      </c>
      <c r="B21" t="s">
        <v>264</v>
      </c>
      <c r="C21">
        <v>60</v>
      </c>
      <c r="D21">
        <v>55</v>
      </c>
      <c r="E21">
        <v>50</v>
      </c>
      <c r="F21">
        <v>55</v>
      </c>
      <c r="G21">
        <v>100000</v>
      </c>
      <c r="H21">
        <v>50026</v>
      </c>
      <c r="I21">
        <v>49974</v>
      </c>
      <c r="J21">
        <v>414326</v>
      </c>
      <c r="K21">
        <v>413870</v>
      </c>
      <c r="L21">
        <v>0.50026000000000004</v>
      </c>
      <c r="M21">
        <v>4.1432599999999997</v>
      </c>
      <c r="N21">
        <v>4.1387</v>
      </c>
      <c r="O21">
        <v>0.13014000000000725</v>
      </c>
      <c r="P21">
        <v>2.7534599999999809</v>
      </c>
    </row>
    <row r="22" spans="1:16" x14ac:dyDescent="0.5">
      <c r="A22" t="s">
        <v>5</v>
      </c>
      <c r="B22" t="s">
        <v>265</v>
      </c>
      <c r="C22">
        <v>65</v>
      </c>
      <c r="D22">
        <v>55</v>
      </c>
      <c r="E22">
        <v>50</v>
      </c>
      <c r="F22">
        <v>55</v>
      </c>
      <c r="G22">
        <v>100000</v>
      </c>
      <c r="H22">
        <v>49941</v>
      </c>
      <c r="I22">
        <v>50059</v>
      </c>
      <c r="J22">
        <v>414630</v>
      </c>
      <c r="K22">
        <v>414048</v>
      </c>
      <c r="L22">
        <v>0.49941000000000002</v>
      </c>
      <c r="M22">
        <v>4.1463000000000001</v>
      </c>
      <c r="N22">
        <v>4.1404800000000002</v>
      </c>
      <c r="O22">
        <v>-7.5599999999955703E-3</v>
      </c>
      <c r="P22">
        <v>2.4650999999999623</v>
      </c>
    </row>
    <row r="23" spans="1:16" x14ac:dyDescent="0.5">
      <c r="A23" t="s">
        <v>5</v>
      </c>
      <c r="B23" t="s">
        <v>266</v>
      </c>
      <c r="C23">
        <v>70</v>
      </c>
      <c r="D23">
        <v>55</v>
      </c>
      <c r="E23">
        <v>50</v>
      </c>
      <c r="F23">
        <v>55</v>
      </c>
      <c r="G23">
        <v>100000</v>
      </c>
      <c r="H23">
        <v>50060</v>
      </c>
      <c r="I23">
        <v>49940</v>
      </c>
      <c r="J23">
        <v>415341</v>
      </c>
      <c r="K23">
        <v>414307</v>
      </c>
      <c r="L23">
        <v>0.50060000000000004</v>
      </c>
      <c r="M23">
        <v>4.15341</v>
      </c>
      <c r="N23">
        <v>4.1430699999999998</v>
      </c>
      <c r="O23">
        <v>0.18522000000000838</v>
      </c>
      <c r="P23">
        <v>2.0455200000000193</v>
      </c>
    </row>
    <row r="24" spans="1:16" x14ac:dyDescent="0.5">
      <c r="A24" t="s">
        <v>5</v>
      </c>
      <c r="B24" t="s">
        <v>267</v>
      </c>
      <c r="C24">
        <v>80</v>
      </c>
      <c r="D24">
        <v>55</v>
      </c>
      <c r="E24">
        <v>50</v>
      </c>
      <c r="F24">
        <v>55</v>
      </c>
      <c r="G24">
        <v>100000</v>
      </c>
      <c r="H24">
        <v>49922</v>
      </c>
      <c r="I24">
        <v>50078</v>
      </c>
      <c r="J24">
        <v>415474</v>
      </c>
      <c r="K24">
        <v>415755</v>
      </c>
      <c r="L24">
        <v>0.49922</v>
      </c>
      <c r="M24">
        <v>4.1547400000000003</v>
      </c>
      <c r="N24">
        <v>4.1575499999999996</v>
      </c>
      <c r="O24">
        <v>-3.8339999999999375E-2</v>
      </c>
      <c r="P24">
        <v>-0.30023999999995254</v>
      </c>
    </row>
    <row r="25" spans="1:16" x14ac:dyDescent="0.5">
      <c r="A25" t="s">
        <v>6</v>
      </c>
      <c r="B25" t="s">
        <v>259</v>
      </c>
      <c r="C25">
        <v>20</v>
      </c>
      <c r="D25">
        <v>20</v>
      </c>
      <c r="E25">
        <v>20</v>
      </c>
      <c r="F25">
        <v>20</v>
      </c>
      <c r="G25">
        <v>100000</v>
      </c>
      <c r="H25">
        <v>47576</v>
      </c>
      <c r="I25">
        <v>52424</v>
      </c>
      <c r="J25">
        <v>414601</v>
      </c>
      <c r="K25">
        <v>438552</v>
      </c>
      <c r="L25">
        <v>0.47576000000000002</v>
      </c>
      <c r="M25">
        <v>4.1460100000000004</v>
      </c>
      <c r="N25">
        <v>4.3855199999999996</v>
      </c>
      <c r="O25">
        <v>-3.8388599999999964</v>
      </c>
      <c r="P25">
        <v>-37.231379999999952</v>
      </c>
    </row>
    <row r="26" spans="1:16" x14ac:dyDescent="0.5">
      <c r="A26" t="s">
        <v>6</v>
      </c>
      <c r="B26" t="s">
        <v>260</v>
      </c>
      <c r="C26">
        <v>80</v>
      </c>
      <c r="D26">
        <v>80</v>
      </c>
      <c r="E26">
        <v>80</v>
      </c>
      <c r="F26">
        <v>80</v>
      </c>
      <c r="G26">
        <v>100000</v>
      </c>
      <c r="H26">
        <v>51372</v>
      </c>
      <c r="I26">
        <v>48628</v>
      </c>
      <c r="J26">
        <v>414437</v>
      </c>
      <c r="K26">
        <v>400887</v>
      </c>
      <c r="L26">
        <v>0.51371999999999995</v>
      </c>
      <c r="M26">
        <v>4.1443700000000003</v>
      </c>
      <c r="N26">
        <v>4.0088699999999999</v>
      </c>
      <c r="O26">
        <v>2.3106599999999937</v>
      </c>
      <c r="P26">
        <v>23.785919999999997</v>
      </c>
    </row>
    <row r="27" spans="1:16" x14ac:dyDescent="0.5">
      <c r="A27" t="s">
        <v>6</v>
      </c>
      <c r="B27" t="s">
        <v>268</v>
      </c>
      <c r="C27">
        <v>20</v>
      </c>
      <c r="D27">
        <v>55</v>
      </c>
      <c r="E27">
        <v>60</v>
      </c>
      <c r="F27">
        <v>50</v>
      </c>
      <c r="G27">
        <v>100000</v>
      </c>
      <c r="H27">
        <v>48287</v>
      </c>
      <c r="I27">
        <v>51713</v>
      </c>
      <c r="J27">
        <v>415804</v>
      </c>
      <c r="K27">
        <v>432299</v>
      </c>
      <c r="L27">
        <v>0.48287000000000002</v>
      </c>
      <c r="M27">
        <v>4.1580399999999997</v>
      </c>
      <c r="N27">
        <v>4.3229899999999999</v>
      </c>
      <c r="O27">
        <v>-2.6870399999999952</v>
      </c>
      <c r="P27">
        <v>-27.101519999999994</v>
      </c>
    </row>
    <row r="28" spans="1:16" x14ac:dyDescent="0.5">
      <c r="A28" t="s">
        <v>6</v>
      </c>
      <c r="B28" t="s">
        <v>269</v>
      </c>
      <c r="C28">
        <v>40</v>
      </c>
      <c r="D28">
        <v>55</v>
      </c>
      <c r="E28">
        <v>60</v>
      </c>
      <c r="F28">
        <v>50</v>
      </c>
      <c r="G28">
        <v>100000</v>
      </c>
      <c r="H28">
        <v>48919</v>
      </c>
      <c r="I28">
        <v>51081</v>
      </c>
      <c r="J28">
        <v>414437</v>
      </c>
      <c r="K28">
        <v>423277</v>
      </c>
      <c r="L28">
        <v>0.48919000000000001</v>
      </c>
      <c r="M28">
        <v>4.1443700000000003</v>
      </c>
      <c r="N28">
        <v>4.2327700000000004</v>
      </c>
      <c r="O28">
        <v>-1.6631999999999967</v>
      </c>
      <c r="P28">
        <v>-12.485880000000071</v>
      </c>
    </row>
    <row r="29" spans="1:16" x14ac:dyDescent="0.5">
      <c r="A29" t="s">
        <v>6</v>
      </c>
      <c r="B29" t="s">
        <v>270</v>
      </c>
      <c r="C29">
        <v>45</v>
      </c>
      <c r="D29">
        <v>55</v>
      </c>
      <c r="E29">
        <v>60</v>
      </c>
      <c r="F29">
        <v>50</v>
      </c>
      <c r="G29">
        <v>100000</v>
      </c>
      <c r="H29">
        <v>49501</v>
      </c>
      <c r="I29">
        <v>50499</v>
      </c>
      <c r="J29">
        <v>415887</v>
      </c>
      <c r="K29">
        <v>421819</v>
      </c>
      <c r="L29">
        <v>0.49501000000000001</v>
      </c>
      <c r="M29">
        <v>4.1588700000000003</v>
      </c>
      <c r="N29">
        <v>4.2181899999999999</v>
      </c>
      <c r="O29">
        <v>-0.720359999999998</v>
      </c>
      <c r="P29">
        <v>-10.123919999999993</v>
      </c>
    </row>
    <row r="30" spans="1:16" x14ac:dyDescent="0.5">
      <c r="A30" t="s">
        <v>6</v>
      </c>
      <c r="B30" t="s">
        <v>271</v>
      </c>
      <c r="C30">
        <v>55</v>
      </c>
      <c r="D30">
        <v>55</v>
      </c>
      <c r="E30">
        <v>60</v>
      </c>
      <c r="F30">
        <v>50</v>
      </c>
      <c r="G30">
        <v>100000</v>
      </c>
      <c r="H30">
        <v>50933</v>
      </c>
      <c r="I30">
        <v>49067</v>
      </c>
      <c r="J30">
        <v>414215</v>
      </c>
      <c r="K30">
        <v>404752</v>
      </c>
      <c r="L30">
        <v>0.50932999999999995</v>
      </c>
      <c r="M30">
        <v>4.14215</v>
      </c>
      <c r="N30">
        <v>4.0475199999999996</v>
      </c>
      <c r="O30">
        <v>1.5994799999999929</v>
      </c>
      <c r="P30">
        <v>17.524620000000059</v>
      </c>
    </row>
    <row r="31" spans="1:16" x14ac:dyDescent="0.5">
      <c r="A31" t="s">
        <v>6</v>
      </c>
      <c r="B31" t="s">
        <v>272</v>
      </c>
      <c r="C31">
        <v>60</v>
      </c>
      <c r="D31">
        <v>55</v>
      </c>
      <c r="E31">
        <v>60</v>
      </c>
      <c r="F31">
        <v>50</v>
      </c>
      <c r="G31">
        <v>100000</v>
      </c>
      <c r="H31">
        <v>51439</v>
      </c>
      <c r="I31">
        <v>48561</v>
      </c>
      <c r="J31">
        <v>415702</v>
      </c>
      <c r="K31">
        <v>402140</v>
      </c>
      <c r="L31">
        <v>0.51439000000000001</v>
      </c>
      <c r="M31">
        <v>4.1570200000000002</v>
      </c>
      <c r="N31">
        <v>4.0213999999999999</v>
      </c>
      <c r="O31">
        <v>2.4192000000000036</v>
      </c>
      <c r="P31">
        <v>21.756060000000012</v>
      </c>
    </row>
    <row r="32" spans="1:16" x14ac:dyDescent="0.5">
      <c r="A32" t="s">
        <v>6</v>
      </c>
      <c r="B32" t="s">
        <v>273</v>
      </c>
      <c r="C32">
        <v>70</v>
      </c>
      <c r="D32">
        <v>55</v>
      </c>
      <c r="E32">
        <v>60</v>
      </c>
      <c r="F32">
        <v>50</v>
      </c>
      <c r="G32">
        <v>100000</v>
      </c>
      <c r="H32">
        <v>51302</v>
      </c>
      <c r="I32">
        <v>48698</v>
      </c>
      <c r="J32">
        <v>416002</v>
      </c>
      <c r="K32">
        <v>404727</v>
      </c>
      <c r="L32">
        <v>0.51302000000000003</v>
      </c>
      <c r="M32">
        <v>4.1600200000000003</v>
      </c>
      <c r="N32">
        <v>4.0472700000000001</v>
      </c>
      <c r="O32">
        <v>2.1972600000000062</v>
      </c>
      <c r="P32">
        <v>17.565119999999965</v>
      </c>
    </row>
    <row r="33" spans="1:16" x14ac:dyDescent="0.5">
      <c r="A33" t="s">
        <v>6</v>
      </c>
      <c r="B33" t="s">
        <v>274</v>
      </c>
      <c r="C33">
        <v>80</v>
      </c>
      <c r="D33">
        <v>55</v>
      </c>
      <c r="E33">
        <v>60</v>
      </c>
      <c r="F33">
        <v>50</v>
      </c>
      <c r="G33">
        <v>100000</v>
      </c>
      <c r="H33">
        <v>51238</v>
      </c>
      <c r="I33">
        <v>48762</v>
      </c>
      <c r="J33">
        <v>415254</v>
      </c>
      <c r="K33">
        <v>404166</v>
      </c>
      <c r="L33">
        <v>0.51237999999999995</v>
      </c>
      <c r="M33">
        <v>4.1525400000000001</v>
      </c>
      <c r="N33">
        <v>4.0416600000000003</v>
      </c>
      <c r="O33">
        <v>2.0935799999999922</v>
      </c>
      <c r="P33">
        <v>18.473939999999949</v>
      </c>
    </row>
    <row r="34" spans="1:16" x14ac:dyDescent="0.5">
      <c r="A34" t="s">
        <v>6</v>
      </c>
      <c r="B34" t="s">
        <v>275</v>
      </c>
      <c r="C34">
        <v>50</v>
      </c>
      <c r="D34">
        <v>55</v>
      </c>
      <c r="E34">
        <v>20</v>
      </c>
      <c r="F34">
        <v>50</v>
      </c>
      <c r="G34">
        <v>100000</v>
      </c>
      <c r="H34">
        <v>48095</v>
      </c>
      <c r="I34">
        <v>51905</v>
      </c>
      <c r="J34">
        <v>414511</v>
      </c>
      <c r="K34">
        <v>433031</v>
      </c>
      <c r="L34">
        <v>0.48094999999999999</v>
      </c>
      <c r="M34">
        <v>4.1451099999999999</v>
      </c>
      <c r="N34">
        <v>4.3303099999999999</v>
      </c>
      <c r="O34">
        <v>-2.9980800000000007</v>
      </c>
      <c r="P34">
        <v>-28.287359999999993</v>
      </c>
    </row>
    <row r="35" spans="1:16" x14ac:dyDescent="0.5">
      <c r="A35" t="s">
        <v>6</v>
      </c>
      <c r="B35" t="s">
        <v>276</v>
      </c>
      <c r="C35">
        <v>50</v>
      </c>
      <c r="D35">
        <v>55</v>
      </c>
      <c r="E35">
        <v>40</v>
      </c>
      <c r="F35">
        <v>50</v>
      </c>
      <c r="G35">
        <v>100000</v>
      </c>
      <c r="H35">
        <v>48133</v>
      </c>
      <c r="I35">
        <v>51867</v>
      </c>
      <c r="J35">
        <v>414073</v>
      </c>
      <c r="K35">
        <v>431339</v>
      </c>
      <c r="L35">
        <v>0.48132999999999998</v>
      </c>
      <c r="M35">
        <v>4.1407299999999996</v>
      </c>
      <c r="N35">
        <v>4.3133900000000001</v>
      </c>
      <c r="O35">
        <v>-2.936520000000002</v>
      </c>
      <c r="P35">
        <v>-25.546320000000023</v>
      </c>
    </row>
    <row r="36" spans="1:16" x14ac:dyDescent="0.5">
      <c r="A36" t="s">
        <v>6</v>
      </c>
      <c r="B36" t="s">
        <v>277</v>
      </c>
      <c r="C36">
        <v>50</v>
      </c>
      <c r="D36">
        <v>55</v>
      </c>
      <c r="E36">
        <v>45</v>
      </c>
      <c r="F36">
        <v>50</v>
      </c>
      <c r="G36">
        <v>100000</v>
      </c>
      <c r="H36">
        <v>48681</v>
      </c>
      <c r="I36">
        <v>51319</v>
      </c>
      <c r="J36">
        <v>415322</v>
      </c>
      <c r="K36">
        <v>427915</v>
      </c>
      <c r="L36">
        <v>0.48681000000000002</v>
      </c>
      <c r="M36">
        <v>4.1532200000000001</v>
      </c>
      <c r="N36">
        <v>4.2791499999999996</v>
      </c>
      <c r="O36">
        <v>-2.0487599999999957</v>
      </c>
      <c r="P36">
        <v>-19.999439999999943</v>
      </c>
    </row>
    <row r="37" spans="1:16" x14ac:dyDescent="0.5">
      <c r="A37" t="s">
        <v>6</v>
      </c>
      <c r="B37" t="s">
        <v>278</v>
      </c>
      <c r="C37">
        <v>50</v>
      </c>
      <c r="D37">
        <v>55</v>
      </c>
      <c r="E37">
        <v>50</v>
      </c>
      <c r="F37">
        <v>50</v>
      </c>
      <c r="G37">
        <v>100000</v>
      </c>
      <c r="H37">
        <v>48534</v>
      </c>
      <c r="I37">
        <v>51466</v>
      </c>
      <c r="J37">
        <v>413258</v>
      </c>
      <c r="K37">
        <v>426560</v>
      </c>
      <c r="L37">
        <v>0.48533999999999999</v>
      </c>
      <c r="M37">
        <v>4.1325799999999999</v>
      </c>
      <c r="N37">
        <v>4.2656000000000001</v>
      </c>
      <c r="O37">
        <v>-2.2869000000000002</v>
      </c>
      <c r="P37">
        <v>-17.804340000000021</v>
      </c>
    </row>
    <row r="38" spans="1:16" x14ac:dyDescent="0.5">
      <c r="A38" t="s">
        <v>6</v>
      </c>
      <c r="B38" t="s">
        <v>279</v>
      </c>
      <c r="C38">
        <v>50</v>
      </c>
      <c r="D38">
        <v>55</v>
      </c>
      <c r="E38">
        <v>55</v>
      </c>
      <c r="F38">
        <v>50</v>
      </c>
      <c r="G38">
        <v>100000</v>
      </c>
      <c r="H38">
        <v>49209</v>
      </c>
      <c r="I38">
        <v>50791</v>
      </c>
      <c r="J38">
        <v>415662</v>
      </c>
      <c r="K38">
        <v>423067</v>
      </c>
      <c r="L38">
        <v>0.49209000000000003</v>
      </c>
      <c r="M38">
        <v>4.1566200000000002</v>
      </c>
      <c r="N38">
        <v>4.2306699999999999</v>
      </c>
      <c r="O38">
        <v>-1.1933999999999945</v>
      </c>
      <c r="P38">
        <v>-12.14568</v>
      </c>
    </row>
    <row r="39" spans="1:16" x14ac:dyDescent="0.5">
      <c r="A39" t="s">
        <v>6</v>
      </c>
      <c r="B39" t="s">
        <v>280</v>
      </c>
      <c r="C39">
        <v>50</v>
      </c>
      <c r="D39">
        <v>55</v>
      </c>
      <c r="E39">
        <v>65</v>
      </c>
      <c r="F39">
        <v>50</v>
      </c>
      <c r="G39">
        <v>100000</v>
      </c>
      <c r="H39">
        <v>51313</v>
      </c>
      <c r="I39">
        <v>48687</v>
      </c>
      <c r="J39">
        <v>415978</v>
      </c>
      <c r="K39">
        <v>404987</v>
      </c>
      <c r="L39">
        <v>0.51312999999999998</v>
      </c>
      <c r="M39">
        <v>4.1597799999999996</v>
      </c>
      <c r="N39">
        <v>4.0498700000000003</v>
      </c>
      <c r="O39">
        <v>2.2150799999999968</v>
      </c>
      <c r="P39">
        <v>17.143919999999937</v>
      </c>
    </row>
    <row r="40" spans="1:16" x14ac:dyDescent="0.5">
      <c r="A40" t="s">
        <v>6</v>
      </c>
      <c r="B40" t="s">
        <v>281</v>
      </c>
      <c r="C40">
        <v>50</v>
      </c>
      <c r="D40">
        <v>55</v>
      </c>
      <c r="E40">
        <v>70</v>
      </c>
      <c r="F40">
        <v>50</v>
      </c>
      <c r="G40">
        <v>100000</v>
      </c>
      <c r="H40">
        <v>51128</v>
      </c>
      <c r="I40">
        <v>48872</v>
      </c>
      <c r="J40">
        <v>414262</v>
      </c>
      <c r="K40">
        <v>404191</v>
      </c>
      <c r="L40">
        <v>0.51127999999999996</v>
      </c>
      <c r="M40">
        <v>4.14262</v>
      </c>
      <c r="N40">
        <v>4.0419099999999997</v>
      </c>
      <c r="O40">
        <v>1.9153799999999941</v>
      </c>
      <c r="P40">
        <v>18.43344000000004</v>
      </c>
    </row>
    <row r="41" spans="1:16" x14ac:dyDescent="0.5">
      <c r="A41" t="s">
        <v>6</v>
      </c>
      <c r="B41" t="s">
        <v>282</v>
      </c>
      <c r="C41">
        <v>50</v>
      </c>
      <c r="D41">
        <v>55</v>
      </c>
      <c r="E41">
        <v>75</v>
      </c>
      <c r="F41">
        <v>50</v>
      </c>
      <c r="G41">
        <v>100000</v>
      </c>
      <c r="H41">
        <v>51397</v>
      </c>
      <c r="I41">
        <v>48603</v>
      </c>
      <c r="J41">
        <v>416165</v>
      </c>
      <c r="K41">
        <v>402408</v>
      </c>
      <c r="L41">
        <v>0.51397000000000004</v>
      </c>
      <c r="M41">
        <v>4.1616499999999998</v>
      </c>
      <c r="N41">
        <v>4.0240799999999997</v>
      </c>
      <c r="O41">
        <v>2.3511600000000072</v>
      </c>
      <c r="P41">
        <v>21.321900000000042</v>
      </c>
    </row>
    <row r="42" spans="1:16" x14ac:dyDescent="0.5">
      <c r="A42" t="s">
        <v>6</v>
      </c>
      <c r="B42" t="s">
        <v>283</v>
      </c>
      <c r="C42">
        <v>50</v>
      </c>
      <c r="D42">
        <v>55</v>
      </c>
      <c r="E42">
        <v>80</v>
      </c>
      <c r="F42">
        <v>50</v>
      </c>
      <c r="G42">
        <v>100000</v>
      </c>
      <c r="H42">
        <v>51399</v>
      </c>
      <c r="I42">
        <v>48601</v>
      </c>
      <c r="J42">
        <v>416120</v>
      </c>
      <c r="K42">
        <v>402542</v>
      </c>
      <c r="L42">
        <v>0.51398999999999995</v>
      </c>
      <c r="M42">
        <v>4.1612</v>
      </c>
      <c r="N42">
        <v>4.0254200000000004</v>
      </c>
      <c r="O42">
        <v>2.3543999999999925</v>
      </c>
      <c r="P42">
        <v>21.104819999999918</v>
      </c>
    </row>
    <row r="43" spans="1:16" x14ac:dyDescent="0.5">
      <c r="A43" t="s">
        <v>110</v>
      </c>
      <c r="B43" t="s">
        <v>259</v>
      </c>
      <c r="C43">
        <v>20</v>
      </c>
      <c r="D43">
        <v>20</v>
      </c>
      <c r="E43">
        <v>20</v>
      </c>
      <c r="F43">
        <v>20</v>
      </c>
      <c r="G43">
        <v>100000</v>
      </c>
      <c r="H43">
        <v>47165</v>
      </c>
      <c r="I43">
        <v>52835</v>
      </c>
      <c r="J43">
        <v>417367</v>
      </c>
      <c r="K43">
        <v>445046</v>
      </c>
      <c r="L43">
        <v>0.47165000000000001</v>
      </c>
      <c r="M43">
        <v>4.1736700000000004</v>
      </c>
      <c r="N43">
        <v>4.4504599999999996</v>
      </c>
      <c r="O43">
        <v>-4.5046799999999969</v>
      </c>
      <c r="P43">
        <v>-47.751659999999951</v>
      </c>
    </row>
    <row r="44" spans="1:16" x14ac:dyDescent="0.5">
      <c r="A44" t="s">
        <v>110</v>
      </c>
      <c r="B44" t="s">
        <v>260</v>
      </c>
      <c r="C44">
        <v>80</v>
      </c>
      <c r="D44">
        <v>80</v>
      </c>
      <c r="E44">
        <v>80</v>
      </c>
      <c r="F44">
        <v>80</v>
      </c>
      <c r="G44">
        <v>100000</v>
      </c>
      <c r="H44">
        <v>51724</v>
      </c>
      <c r="I44">
        <v>48276</v>
      </c>
      <c r="J44">
        <v>415854</v>
      </c>
      <c r="K44">
        <v>400604</v>
      </c>
      <c r="L44">
        <v>0.51724000000000003</v>
      </c>
      <c r="M44">
        <v>4.1585400000000003</v>
      </c>
      <c r="N44">
        <v>4.0060399999999996</v>
      </c>
      <c r="O44">
        <v>2.8809000000000067</v>
      </c>
      <c r="P44">
        <v>24.244380000000053</v>
      </c>
    </row>
    <row r="45" spans="1:16" x14ac:dyDescent="0.5">
      <c r="A45" t="s">
        <v>110</v>
      </c>
      <c r="B45" t="s">
        <v>284</v>
      </c>
      <c r="C45">
        <v>20</v>
      </c>
      <c r="D45">
        <v>60</v>
      </c>
      <c r="E45">
        <v>60</v>
      </c>
      <c r="F45">
        <v>60</v>
      </c>
      <c r="G45">
        <v>100000</v>
      </c>
      <c r="H45">
        <v>48141</v>
      </c>
      <c r="I45">
        <v>51859</v>
      </c>
      <c r="J45">
        <v>415669</v>
      </c>
      <c r="K45">
        <v>431960</v>
      </c>
      <c r="L45">
        <v>0.48141</v>
      </c>
      <c r="M45">
        <v>4.1566900000000002</v>
      </c>
      <c r="N45">
        <v>4.3196000000000003</v>
      </c>
      <c r="O45">
        <v>-2.9235599999999984</v>
      </c>
      <c r="P45">
        <v>-26.552340000000065</v>
      </c>
    </row>
    <row r="46" spans="1:16" x14ac:dyDescent="0.5">
      <c r="A46" t="s">
        <v>110</v>
      </c>
      <c r="B46" t="s">
        <v>285</v>
      </c>
      <c r="C46">
        <v>40</v>
      </c>
      <c r="D46">
        <v>60</v>
      </c>
      <c r="E46">
        <v>60</v>
      </c>
      <c r="F46">
        <v>60</v>
      </c>
      <c r="G46">
        <v>100000</v>
      </c>
      <c r="H46">
        <v>48314</v>
      </c>
      <c r="I46">
        <v>51686</v>
      </c>
      <c r="J46">
        <v>415216</v>
      </c>
      <c r="K46">
        <v>432624</v>
      </c>
      <c r="L46">
        <v>0.48314000000000001</v>
      </c>
      <c r="M46">
        <v>4.1521600000000003</v>
      </c>
      <c r="N46">
        <v>4.3262400000000003</v>
      </c>
      <c r="O46">
        <v>-2.6432999999999964</v>
      </c>
      <c r="P46">
        <v>-27.628020000000063</v>
      </c>
    </row>
    <row r="47" spans="1:16" x14ac:dyDescent="0.5">
      <c r="A47" t="s">
        <v>110</v>
      </c>
      <c r="B47" t="s">
        <v>286</v>
      </c>
      <c r="C47">
        <v>50</v>
      </c>
      <c r="D47">
        <v>60</v>
      </c>
      <c r="E47">
        <v>60</v>
      </c>
      <c r="F47">
        <v>60</v>
      </c>
      <c r="G47">
        <v>100000</v>
      </c>
      <c r="H47">
        <v>48469</v>
      </c>
      <c r="I47">
        <v>51531</v>
      </c>
      <c r="J47">
        <v>414277</v>
      </c>
      <c r="K47">
        <v>428281</v>
      </c>
      <c r="L47">
        <v>0.48469000000000001</v>
      </c>
      <c r="M47">
        <v>4.1427699999999996</v>
      </c>
      <c r="N47">
        <v>4.2828099999999996</v>
      </c>
      <c r="O47">
        <v>-2.3921999999999972</v>
      </c>
      <c r="P47">
        <v>-20.592359999999942</v>
      </c>
    </row>
    <row r="48" spans="1:16" x14ac:dyDescent="0.5">
      <c r="A48" t="s">
        <v>110</v>
      </c>
      <c r="B48" t="s">
        <v>287</v>
      </c>
      <c r="C48">
        <v>55</v>
      </c>
      <c r="D48">
        <v>60</v>
      </c>
      <c r="E48">
        <v>60</v>
      </c>
      <c r="F48">
        <v>60</v>
      </c>
      <c r="G48">
        <v>100000</v>
      </c>
      <c r="H48">
        <v>48798</v>
      </c>
      <c r="I48">
        <v>51202</v>
      </c>
      <c r="J48">
        <v>415995</v>
      </c>
      <c r="K48">
        <v>428498</v>
      </c>
      <c r="L48">
        <v>0.48798000000000002</v>
      </c>
      <c r="M48">
        <v>4.1599500000000003</v>
      </c>
      <c r="N48">
        <v>4.28498</v>
      </c>
      <c r="O48">
        <v>-1.8592199999999948</v>
      </c>
      <c r="P48">
        <v>-20.943900000000014</v>
      </c>
    </row>
    <row r="49" spans="1:16" x14ac:dyDescent="0.5">
      <c r="A49" t="s">
        <v>110</v>
      </c>
      <c r="B49" t="s">
        <v>288</v>
      </c>
      <c r="C49">
        <v>65</v>
      </c>
      <c r="D49">
        <v>60</v>
      </c>
      <c r="E49">
        <v>60</v>
      </c>
      <c r="F49">
        <v>60</v>
      </c>
      <c r="G49">
        <v>100000</v>
      </c>
      <c r="H49">
        <v>51349</v>
      </c>
      <c r="I49">
        <v>48651</v>
      </c>
      <c r="J49">
        <v>416207</v>
      </c>
      <c r="K49">
        <v>404998</v>
      </c>
      <c r="L49">
        <v>0.51349</v>
      </c>
      <c r="M49">
        <v>4.1620699999999999</v>
      </c>
      <c r="N49">
        <v>4.0499799999999997</v>
      </c>
      <c r="O49">
        <v>2.2734000000000014</v>
      </c>
      <c r="P49">
        <v>17.126100000000037</v>
      </c>
    </row>
    <row r="50" spans="1:16" x14ac:dyDescent="0.5">
      <c r="A50" t="s">
        <v>110</v>
      </c>
      <c r="B50" t="s">
        <v>289</v>
      </c>
      <c r="C50">
        <v>70</v>
      </c>
      <c r="D50">
        <v>60</v>
      </c>
      <c r="E50">
        <v>60</v>
      </c>
      <c r="F50">
        <v>60</v>
      </c>
      <c r="G50">
        <v>100000</v>
      </c>
      <c r="H50">
        <v>50854</v>
      </c>
      <c r="I50">
        <v>49146</v>
      </c>
      <c r="J50">
        <v>415890</v>
      </c>
      <c r="K50">
        <v>407483</v>
      </c>
      <c r="L50">
        <v>0.50853999999999999</v>
      </c>
      <c r="M50">
        <v>4.1589</v>
      </c>
      <c r="N50">
        <v>4.0748300000000004</v>
      </c>
      <c r="O50">
        <v>1.4714999999999998</v>
      </c>
      <c r="P50">
        <v>13.100399999999924</v>
      </c>
    </row>
    <row r="51" spans="1:16" x14ac:dyDescent="0.5">
      <c r="A51" t="s">
        <v>110</v>
      </c>
      <c r="B51" t="s">
        <v>290</v>
      </c>
      <c r="C51">
        <v>75</v>
      </c>
      <c r="D51">
        <v>60</v>
      </c>
      <c r="E51">
        <v>60</v>
      </c>
      <c r="F51">
        <v>60</v>
      </c>
      <c r="G51">
        <v>100000</v>
      </c>
      <c r="H51">
        <v>50790</v>
      </c>
      <c r="I51">
        <v>49210</v>
      </c>
      <c r="J51">
        <v>413872</v>
      </c>
      <c r="K51">
        <v>405647</v>
      </c>
      <c r="L51">
        <v>0.50790000000000002</v>
      </c>
      <c r="M51">
        <v>4.1387200000000002</v>
      </c>
      <c r="N51">
        <v>4.05647</v>
      </c>
      <c r="O51">
        <v>1.367820000000004</v>
      </c>
      <c r="P51">
        <v>16.074719999999985</v>
      </c>
    </row>
    <row r="52" spans="1:16" x14ac:dyDescent="0.5">
      <c r="A52" t="s">
        <v>110</v>
      </c>
      <c r="B52" t="s">
        <v>291</v>
      </c>
      <c r="C52">
        <v>80</v>
      </c>
      <c r="D52">
        <v>60</v>
      </c>
      <c r="E52">
        <v>60</v>
      </c>
      <c r="F52">
        <v>60</v>
      </c>
      <c r="G52">
        <v>100000</v>
      </c>
      <c r="H52">
        <v>51192</v>
      </c>
      <c r="I52">
        <v>48808</v>
      </c>
      <c r="J52">
        <v>416285</v>
      </c>
      <c r="K52">
        <v>405337</v>
      </c>
      <c r="L52">
        <v>0.51192000000000004</v>
      </c>
      <c r="M52">
        <v>4.1628499999999997</v>
      </c>
      <c r="N52">
        <v>4.0533700000000001</v>
      </c>
      <c r="O52">
        <v>2.0190600000000076</v>
      </c>
      <c r="P52">
        <v>16.576919999999966</v>
      </c>
    </row>
    <row r="53" spans="1:16" x14ac:dyDescent="0.5">
      <c r="A53" t="s">
        <v>174</v>
      </c>
      <c r="B53" t="s">
        <v>292</v>
      </c>
      <c r="C53">
        <v>20</v>
      </c>
      <c r="D53">
        <v>20</v>
      </c>
      <c r="E53">
        <v>20</v>
      </c>
      <c r="G53">
        <v>100000</v>
      </c>
      <c r="H53">
        <v>48447</v>
      </c>
      <c r="I53">
        <v>51553</v>
      </c>
      <c r="J53">
        <v>413764</v>
      </c>
      <c r="K53">
        <v>429546</v>
      </c>
      <c r="L53">
        <v>0.48447000000000001</v>
      </c>
      <c r="M53">
        <v>4.1376400000000002</v>
      </c>
      <c r="N53">
        <v>4.2954600000000003</v>
      </c>
      <c r="O53">
        <v>-2.4278399999999971</v>
      </c>
      <c r="P53">
        <v>-22.641660000000059</v>
      </c>
    </row>
    <row r="54" spans="1:16" x14ac:dyDescent="0.5">
      <c r="A54" t="s">
        <v>174</v>
      </c>
      <c r="B54" t="s">
        <v>179</v>
      </c>
      <c r="C54">
        <v>80</v>
      </c>
      <c r="D54">
        <v>80</v>
      </c>
      <c r="E54">
        <v>80</v>
      </c>
      <c r="G54">
        <v>100000</v>
      </c>
      <c r="H54">
        <v>52218</v>
      </c>
      <c r="I54">
        <v>47782</v>
      </c>
      <c r="J54">
        <v>414993</v>
      </c>
      <c r="K54">
        <v>392942</v>
      </c>
      <c r="L54">
        <v>0.52217999999999998</v>
      </c>
      <c r="M54">
        <v>4.1499300000000003</v>
      </c>
      <c r="N54">
        <v>3.9294199999999999</v>
      </c>
      <c r="O54">
        <v>3.6811799999999977</v>
      </c>
      <c r="P54">
        <v>36.656820000000003</v>
      </c>
    </row>
    <row r="55" spans="1:16" x14ac:dyDescent="0.5">
      <c r="A55" t="s">
        <v>174</v>
      </c>
      <c r="B55" t="s">
        <v>293</v>
      </c>
      <c r="C55">
        <v>20</v>
      </c>
      <c r="D55">
        <v>50</v>
      </c>
      <c r="E55">
        <v>55</v>
      </c>
      <c r="G55">
        <v>100000</v>
      </c>
      <c r="H55">
        <v>49330</v>
      </c>
      <c r="I55">
        <v>50670</v>
      </c>
      <c r="J55">
        <v>415075</v>
      </c>
      <c r="K55">
        <v>423298</v>
      </c>
      <c r="L55">
        <v>0.49330000000000002</v>
      </c>
      <c r="M55">
        <v>4.1507500000000004</v>
      </c>
      <c r="N55">
        <v>4.2329800000000004</v>
      </c>
      <c r="O55">
        <v>-0.99737999999999627</v>
      </c>
      <c r="P55">
        <v>-12.519900000000078</v>
      </c>
    </row>
    <row r="56" spans="1:16" x14ac:dyDescent="0.5">
      <c r="A56" t="s">
        <v>174</v>
      </c>
      <c r="B56" t="s">
        <v>294</v>
      </c>
      <c r="C56">
        <v>40</v>
      </c>
      <c r="D56">
        <v>50</v>
      </c>
      <c r="E56">
        <v>55</v>
      </c>
      <c r="G56">
        <v>100000</v>
      </c>
      <c r="H56">
        <v>49276</v>
      </c>
      <c r="I56">
        <v>50724</v>
      </c>
      <c r="J56">
        <v>414856</v>
      </c>
      <c r="K56">
        <v>422443</v>
      </c>
      <c r="L56">
        <v>0.49275999999999998</v>
      </c>
      <c r="M56">
        <v>4.1485599999999998</v>
      </c>
      <c r="N56">
        <v>4.2244299999999999</v>
      </c>
      <c r="O56">
        <v>-1.0848600000000028</v>
      </c>
      <c r="P56">
        <v>-11.134799999999997</v>
      </c>
    </row>
    <row r="57" spans="1:16" x14ac:dyDescent="0.5">
      <c r="A57" t="s">
        <v>174</v>
      </c>
      <c r="B57" t="s">
        <v>295</v>
      </c>
      <c r="C57">
        <v>50</v>
      </c>
      <c r="D57">
        <v>50</v>
      </c>
      <c r="E57">
        <v>55</v>
      </c>
      <c r="G57">
        <v>100000</v>
      </c>
      <c r="H57">
        <v>49514</v>
      </c>
      <c r="I57">
        <v>50486</v>
      </c>
      <c r="J57">
        <v>416688</v>
      </c>
      <c r="K57">
        <v>421084</v>
      </c>
      <c r="L57">
        <v>0.49514000000000002</v>
      </c>
      <c r="M57">
        <v>4.1668799999999999</v>
      </c>
      <c r="N57">
        <v>4.2108400000000001</v>
      </c>
      <c r="O57">
        <v>-0.69929999999999493</v>
      </c>
      <c r="P57">
        <v>-8.9332200000000341</v>
      </c>
    </row>
    <row r="58" spans="1:16" x14ac:dyDescent="0.5">
      <c r="A58" t="s">
        <v>174</v>
      </c>
      <c r="B58" t="s">
        <v>296</v>
      </c>
      <c r="C58">
        <v>55</v>
      </c>
      <c r="D58">
        <v>50</v>
      </c>
      <c r="E58">
        <v>55</v>
      </c>
      <c r="G58">
        <v>100000</v>
      </c>
      <c r="H58">
        <v>49245</v>
      </c>
      <c r="I58">
        <v>50755</v>
      </c>
      <c r="J58">
        <v>414473</v>
      </c>
      <c r="K58">
        <v>422666</v>
      </c>
      <c r="L58">
        <v>0.49245</v>
      </c>
      <c r="M58">
        <v>4.14473</v>
      </c>
      <c r="N58">
        <v>4.2266599999999999</v>
      </c>
      <c r="O58">
        <v>-1.135079999999999</v>
      </c>
      <c r="P58">
        <v>-11.496059999999989</v>
      </c>
    </row>
    <row r="59" spans="1:16" x14ac:dyDescent="0.5">
      <c r="A59" t="s">
        <v>174</v>
      </c>
      <c r="B59" t="s">
        <v>297</v>
      </c>
      <c r="C59">
        <v>65</v>
      </c>
      <c r="D59">
        <v>50</v>
      </c>
      <c r="E59">
        <v>55</v>
      </c>
      <c r="G59">
        <v>100000</v>
      </c>
      <c r="H59">
        <v>51861</v>
      </c>
      <c r="I59">
        <v>48139</v>
      </c>
      <c r="J59">
        <v>416826</v>
      </c>
      <c r="K59">
        <v>398700</v>
      </c>
      <c r="L59">
        <v>0.51861000000000002</v>
      </c>
      <c r="M59">
        <v>4.1682600000000001</v>
      </c>
      <c r="N59">
        <v>3.9870000000000001</v>
      </c>
      <c r="O59">
        <v>3.1028400000000036</v>
      </c>
      <c r="P59">
        <v>27.32885999999997</v>
      </c>
    </row>
    <row r="60" spans="1:16" x14ac:dyDescent="0.5">
      <c r="A60" t="s">
        <v>174</v>
      </c>
      <c r="B60" t="s">
        <v>298</v>
      </c>
      <c r="C60">
        <v>70</v>
      </c>
      <c r="D60">
        <v>50</v>
      </c>
      <c r="E60">
        <v>55</v>
      </c>
      <c r="G60">
        <v>100000</v>
      </c>
      <c r="H60">
        <v>51797</v>
      </c>
      <c r="I60">
        <v>48203</v>
      </c>
      <c r="J60">
        <v>415809</v>
      </c>
      <c r="K60">
        <v>396903</v>
      </c>
      <c r="L60">
        <v>0.51797000000000004</v>
      </c>
      <c r="M60">
        <v>4.1580899999999996</v>
      </c>
      <c r="N60">
        <v>3.9690300000000001</v>
      </c>
      <c r="O60">
        <v>2.9991600000000078</v>
      </c>
      <c r="P60">
        <v>30.239999999999981</v>
      </c>
    </row>
    <row r="61" spans="1:16" x14ac:dyDescent="0.5">
      <c r="A61" t="s">
        <v>174</v>
      </c>
      <c r="B61" t="s">
        <v>299</v>
      </c>
      <c r="C61">
        <v>75</v>
      </c>
      <c r="D61">
        <v>50</v>
      </c>
      <c r="E61">
        <v>55</v>
      </c>
      <c r="G61">
        <v>100000</v>
      </c>
      <c r="H61">
        <v>52058</v>
      </c>
      <c r="I61">
        <v>47942</v>
      </c>
      <c r="J61">
        <v>414954</v>
      </c>
      <c r="K61">
        <v>397616</v>
      </c>
      <c r="L61">
        <v>0.52058000000000004</v>
      </c>
      <c r="M61">
        <v>4.14954</v>
      </c>
      <c r="N61">
        <v>3.9761600000000001</v>
      </c>
      <c r="O61">
        <v>3.421980000000008</v>
      </c>
      <c r="P61">
        <v>29.084939999999968</v>
      </c>
    </row>
    <row r="62" spans="1:16" x14ac:dyDescent="0.5">
      <c r="A62" t="s">
        <v>174</v>
      </c>
      <c r="B62" t="s">
        <v>300</v>
      </c>
      <c r="C62">
        <v>80</v>
      </c>
      <c r="D62">
        <v>50</v>
      </c>
      <c r="E62">
        <v>55</v>
      </c>
      <c r="G62">
        <v>100000</v>
      </c>
      <c r="H62">
        <v>51667</v>
      </c>
      <c r="I62">
        <v>48333</v>
      </c>
      <c r="J62">
        <v>415974</v>
      </c>
      <c r="K62">
        <v>399826</v>
      </c>
      <c r="L62">
        <v>0.51666999999999996</v>
      </c>
      <c r="M62">
        <v>4.1597400000000002</v>
      </c>
      <c r="N62">
        <v>3.9982600000000001</v>
      </c>
      <c r="O62">
        <v>2.788559999999995</v>
      </c>
      <c r="P62">
        <v>25.504739999999963</v>
      </c>
    </row>
    <row r="63" spans="1:16" x14ac:dyDescent="0.5">
      <c r="A63" t="s">
        <v>246</v>
      </c>
      <c r="B63" t="s">
        <v>292</v>
      </c>
      <c r="C63">
        <v>20</v>
      </c>
      <c r="D63">
        <v>20</v>
      </c>
      <c r="E63">
        <v>20</v>
      </c>
      <c r="G63">
        <v>100000</v>
      </c>
      <c r="H63">
        <v>48604</v>
      </c>
      <c r="I63">
        <v>51396</v>
      </c>
      <c r="J63">
        <v>413770</v>
      </c>
      <c r="K63">
        <v>427237</v>
      </c>
      <c r="L63">
        <v>0.48604000000000003</v>
      </c>
      <c r="M63">
        <v>4.1376999999999997</v>
      </c>
      <c r="N63">
        <v>4.2723699999999996</v>
      </c>
      <c r="O63">
        <v>-2.1734999999999944</v>
      </c>
      <c r="P63">
        <v>-18.90107999999994</v>
      </c>
    </row>
    <row r="64" spans="1:16" x14ac:dyDescent="0.5">
      <c r="A64" t="s">
        <v>246</v>
      </c>
      <c r="B64" t="s">
        <v>179</v>
      </c>
      <c r="C64">
        <v>80</v>
      </c>
      <c r="D64">
        <v>80</v>
      </c>
      <c r="E64">
        <v>80</v>
      </c>
      <c r="G64">
        <v>100000</v>
      </c>
      <c r="H64">
        <v>51843</v>
      </c>
      <c r="I64">
        <v>48157</v>
      </c>
      <c r="J64">
        <v>416817</v>
      </c>
      <c r="K64">
        <v>399004</v>
      </c>
      <c r="L64">
        <v>0.51842999999999995</v>
      </c>
      <c r="M64">
        <v>4.1681699999999999</v>
      </c>
      <c r="N64">
        <v>3.99004</v>
      </c>
      <c r="O64">
        <v>3.0736799999999924</v>
      </c>
      <c r="P64">
        <v>26.836379999999984</v>
      </c>
    </row>
    <row r="65" spans="1:16" x14ac:dyDescent="0.5">
      <c r="A65" t="s">
        <v>246</v>
      </c>
      <c r="B65" t="s">
        <v>301</v>
      </c>
      <c r="C65">
        <v>20</v>
      </c>
      <c r="D65">
        <v>50</v>
      </c>
      <c r="E65">
        <v>50</v>
      </c>
      <c r="G65">
        <v>100000</v>
      </c>
      <c r="H65">
        <v>49302</v>
      </c>
      <c r="I65">
        <v>50698</v>
      </c>
      <c r="J65">
        <v>415666</v>
      </c>
      <c r="K65">
        <v>420803</v>
      </c>
      <c r="L65">
        <v>0.49302000000000001</v>
      </c>
      <c r="M65">
        <v>4.1566599999999996</v>
      </c>
      <c r="N65">
        <v>4.2080299999999999</v>
      </c>
      <c r="O65">
        <v>-1.0427399999999967</v>
      </c>
      <c r="P65">
        <v>-8.4780000000000015</v>
      </c>
    </row>
    <row r="66" spans="1:16" x14ac:dyDescent="0.5">
      <c r="A66" t="s">
        <v>246</v>
      </c>
      <c r="B66" t="s">
        <v>302</v>
      </c>
      <c r="C66">
        <v>40</v>
      </c>
      <c r="D66">
        <v>50</v>
      </c>
      <c r="E66">
        <v>50</v>
      </c>
      <c r="G66">
        <v>100000</v>
      </c>
      <c r="H66">
        <v>49432</v>
      </c>
      <c r="I66">
        <v>50568</v>
      </c>
      <c r="J66">
        <v>415847</v>
      </c>
      <c r="K66">
        <v>419068</v>
      </c>
      <c r="L66">
        <v>0.49431999999999998</v>
      </c>
      <c r="M66">
        <v>4.1584700000000003</v>
      </c>
      <c r="N66">
        <v>4.1906800000000004</v>
      </c>
      <c r="O66">
        <v>-0.83214000000000188</v>
      </c>
      <c r="P66">
        <v>-5.6673000000000773</v>
      </c>
    </row>
    <row r="67" spans="1:16" x14ac:dyDescent="0.5">
      <c r="A67" t="s">
        <v>246</v>
      </c>
      <c r="B67" t="s">
        <v>303</v>
      </c>
      <c r="C67">
        <v>45</v>
      </c>
      <c r="D67">
        <v>50</v>
      </c>
      <c r="E67">
        <v>50</v>
      </c>
      <c r="G67">
        <v>100000</v>
      </c>
      <c r="H67">
        <v>49574</v>
      </c>
      <c r="I67">
        <v>50426</v>
      </c>
      <c r="J67">
        <v>415107</v>
      </c>
      <c r="K67">
        <v>420131</v>
      </c>
      <c r="L67">
        <v>0.49574000000000001</v>
      </c>
      <c r="M67">
        <v>4.1510699999999998</v>
      </c>
      <c r="N67">
        <v>4.2013100000000003</v>
      </c>
      <c r="O67">
        <v>-0.60209999999999664</v>
      </c>
      <c r="P67">
        <v>-7.3893600000000639</v>
      </c>
    </row>
    <row r="68" spans="1:16" x14ac:dyDescent="0.5">
      <c r="A68" t="s">
        <v>246</v>
      </c>
      <c r="B68" t="s">
        <v>304</v>
      </c>
      <c r="C68">
        <v>55</v>
      </c>
      <c r="D68">
        <v>50</v>
      </c>
      <c r="E68">
        <v>50</v>
      </c>
      <c r="G68">
        <v>100000</v>
      </c>
      <c r="H68">
        <v>51377</v>
      </c>
      <c r="I68">
        <v>48623</v>
      </c>
      <c r="J68">
        <v>415219</v>
      </c>
      <c r="K68">
        <v>403371</v>
      </c>
      <c r="L68">
        <v>0.51376999999999995</v>
      </c>
      <c r="M68">
        <v>4.15219</v>
      </c>
      <c r="N68">
        <v>4.0337100000000001</v>
      </c>
      <c r="O68">
        <v>2.318759999999993</v>
      </c>
      <c r="P68">
        <v>19.761839999999967</v>
      </c>
    </row>
    <row r="69" spans="1:16" x14ac:dyDescent="0.5">
      <c r="A69" t="s">
        <v>246</v>
      </c>
      <c r="B69" t="s">
        <v>305</v>
      </c>
      <c r="C69">
        <v>60</v>
      </c>
      <c r="D69">
        <v>50</v>
      </c>
      <c r="E69">
        <v>50</v>
      </c>
      <c r="G69">
        <v>100000</v>
      </c>
      <c r="H69">
        <v>51059</v>
      </c>
      <c r="I69">
        <v>48941</v>
      </c>
      <c r="J69">
        <v>414232</v>
      </c>
      <c r="K69">
        <v>404280</v>
      </c>
      <c r="L69">
        <v>0.51058999999999999</v>
      </c>
      <c r="M69">
        <v>4.1423199999999998</v>
      </c>
      <c r="N69">
        <v>4.0427999999999997</v>
      </c>
      <c r="O69">
        <v>1.8035999999999992</v>
      </c>
      <c r="P69">
        <v>18.289260000000034</v>
      </c>
    </row>
    <row r="70" spans="1:16" x14ac:dyDescent="0.5">
      <c r="A70" t="s">
        <v>246</v>
      </c>
      <c r="B70" t="s">
        <v>306</v>
      </c>
      <c r="C70">
        <v>65</v>
      </c>
      <c r="D70">
        <v>50</v>
      </c>
      <c r="E70">
        <v>50</v>
      </c>
      <c r="G70">
        <v>100000</v>
      </c>
      <c r="H70">
        <v>51604</v>
      </c>
      <c r="I70">
        <v>48396</v>
      </c>
      <c r="J70">
        <v>415849</v>
      </c>
      <c r="K70">
        <v>402224</v>
      </c>
      <c r="L70">
        <v>0.51604000000000005</v>
      </c>
      <c r="M70">
        <v>4.1584899999999996</v>
      </c>
      <c r="N70">
        <v>4.02224</v>
      </c>
      <c r="O70">
        <v>2.6865000000000099</v>
      </c>
      <c r="P70">
        <v>21.619979999999984</v>
      </c>
    </row>
    <row r="71" spans="1:16" x14ac:dyDescent="0.5">
      <c r="A71" t="s">
        <v>246</v>
      </c>
      <c r="B71" t="s">
        <v>307</v>
      </c>
      <c r="C71">
        <v>70</v>
      </c>
      <c r="D71">
        <v>50</v>
      </c>
      <c r="E71">
        <v>50</v>
      </c>
      <c r="G71">
        <v>100000</v>
      </c>
      <c r="H71">
        <v>50964</v>
      </c>
      <c r="I71">
        <v>49036</v>
      </c>
      <c r="J71">
        <v>415064</v>
      </c>
      <c r="K71">
        <v>405026</v>
      </c>
      <c r="L71">
        <v>0.50963999999999998</v>
      </c>
      <c r="M71">
        <v>4.1506400000000001</v>
      </c>
      <c r="N71">
        <v>4.0502599999999997</v>
      </c>
      <c r="O71">
        <v>1.6496999999999982</v>
      </c>
      <c r="P71">
        <v>17.080740000000027</v>
      </c>
    </row>
    <row r="72" spans="1:16" x14ac:dyDescent="0.5">
      <c r="A72" t="s">
        <v>246</v>
      </c>
      <c r="B72" t="s">
        <v>308</v>
      </c>
      <c r="C72">
        <v>80</v>
      </c>
      <c r="D72">
        <v>50</v>
      </c>
      <c r="E72">
        <v>50</v>
      </c>
      <c r="G72">
        <v>100000</v>
      </c>
      <c r="H72">
        <v>51097</v>
      </c>
      <c r="I72">
        <v>48903</v>
      </c>
      <c r="J72">
        <v>414820</v>
      </c>
      <c r="K72">
        <v>405090</v>
      </c>
      <c r="L72">
        <v>0.51097000000000004</v>
      </c>
      <c r="M72">
        <v>4.1482000000000001</v>
      </c>
      <c r="N72">
        <v>4.0509000000000004</v>
      </c>
      <c r="O72">
        <v>1.8651600000000068</v>
      </c>
      <c r="P72">
        <v>16.977059999999923</v>
      </c>
    </row>
    <row r="73" spans="1:16" x14ac:dyDescent="0.5">
      <c r="A73" t="s">
        <v>246</v>
      </c>
      <c r="B73" t="s">
        <v>309</v>
      </c>
      <c r="C73">
        <v>50</v>
      </c>
      <c r="D73">
        <v>50</v>
      </c>
      <c r="E73">
        <v>20</v>
      </c>
      <c r="G73">
        <v>100000</v>
      </c>
      <c r="H73">
        <v>49619</v>
      </c>
      <c r="I73">
        <v>50381</v>
      </c>
      <c r="J73">
        <v>414624</v>
      </c>
      <c r="K73">
        <v>419328</v>
      </c>
      <c r="L73">
        <v>0.49619000000000002</v>
      </c>
      <c r="M73">
        <v>4.1462399999999997</v>
      </c>
      <c r="N73">
        <v>4.1932799999999997</v>
      </c>
      <c r="O73">
        <v>-0.52919999999999567</v>
      </c>
      <c r="P73">
        <v>-6.0884999999999589</v>
      </c>
    </row>
    <row r="74" spans="1:16" x14ac:dyDescent="0.5">
      <c r="A74" t="s">
        <v>246</v>
      </c>
      <c r="B74" t="s">
        <v>310</v>
      </c>
      <c r="C74">
        <v>50</v>
      </c>
      <c r="D74">
        <v>50</v>
      </c>
      <c r="E74">
        <v>40</v>
      </c>
      <c r="G74">
        <v>100000</v>
      </c>
      <c r="H74">
        <v>49663</v>
      </c>
      <c r="I74">
        <v>50337</v>
      </c>
      <c r="J74">
        <v>415240</v>
      </c>
      <c r="K74">
        <v>417827</v>
      </c>
      <c r="L74">
        <v>0.49663000000000002</v>
      </c>
      <c r="M74">
        <v>4.1524000000000001</v>
      </c>
      <c r="N74">
        <v>4.1782700000000004</v>
      </c>
      <c r="O74">
        <v>-0.45791999999999633</v>
      </c>
      <c r="P74">
        <v>-3.6568800000000721</v>
      </c>
    </row>
    <row r="75" spans="1:16" x14ac:dyDescent="0.5">
      <c r="A75" t="s">
        <v>246</v>
      </c>
      <c r="B75" t="s">
        <v>311</v>
      </c>
      <c r="C75">
        <v>50</v>
      </c>
      <c r="D75">
        <v>50</v>
      </c>
      <c r="E75">
        <v>45</v>
      </c>
      <c r="G75">
        <v>100000</v>
      </c>
      <c r="H75">
        <v>49984</v>
      </c>
      <c r="I75">
        <v>50016</v>
      </c>
      <c r="J75">
        <v>414401</v>
      </c>
      <c r="K75">
        <v>415737</v>
      </c>
      <c r="L75">
        <v>0.49984000000000001</v>
      </c>
      <c r="M75">
        <v>4.1440099999999997</v>
      </c>
      <c r="N75">
        <v>4.1573700000000002</v>
      </c>
      <c r="O75">
        <v>6.2100000000002153E-2</v>
      </c>
      <c r="P75">
        <v>-0.27108000000004928</v>
      </c>
    </row>
    <row r="76" spans="1:16" x14ac:dyDescent="0.5">
      <c r="A76" t="s">
        <v>246</v>
      </c>
      <c r="B76" t="s">
        <v>295</v>
      </c>
      <c r="C76">
        <v>50</v>
      </c>
      <c r="D76">
        <v>50</v>
      </c>
      <c r="E76">
        <v>55</v>
      </c>
      <c r="G76">
        <v>100000</v>
      </c>
      <c r="H76">
        <v>50252</v>
      </c>
      <c r="I76">
        <v>49748</v>
      </c>
      <c r="J76">
        <v>415052</v>
      </c>
      <c r="K76">
        <v>413285</v>
      </c>
      <c r="L76">
        <v>0.50251999999999997</v>
      </c>
      <c r="M76">
        <v>4.1505200000000002</v>
      </c>
      <c r="N76">
        <v>4.1328500000000004</v>
      </c>
      <c r="O76">
        <v>0.4962599999999957</v>
      </c>
      <c r="P76">
        <v>3.7011599999999305</v>
      </c>
    </row>
    <row r="77" spans="1:16" x14ac:dyDescent="0.5">
      <c r="A77" t="s">
        <v>246</v>
      </c>
      <c r="B77" t="s">
        <v>312</v>
      </c>
      <c r="C77">
        <v>50</v>
      </c>
      <c r="D77">
        <v>50</v>
      </c>
      <c r="E77">
        <v>60</v>
      </c>
      <c r="G77">
        <v>100000</v>
      </c>
      <c r="H77">
        <v>50362</v>
      </c>
      <c r="I77">
        <v>49638</v>
      </c>
      <c r="J77">
        <v>415187</v>
      </c>
      <c r="K77">
        <v>412641</v>
      </c>
      <c r="L77">
        <v>0.50361999999999996</v>
      </c>
      <c r="M77">
        <v>4.1518699999999997</v>
      </c>
      <c r="N77">
        <v>4.1264099999999999</v>
      </c>
      <c r="O77">
        <v>0.67445999999999406</v>
      </c>
      <c r="P77">
        <v>4.7444400000000027</v>
      </c>
    </row>
    <row r="78" spans="1:16" x14ac:dyDescent="0.5">
      <c r="A78" t="s">
        <v>246</v>
      </c>
      <c r="B78" t="s">
        <v>313</v>
      </c>
      <c r="C78">
        <v>50</v>
      </c>
      <c r="D78">
        <v>50</v>
      </c>
      <c r="E78">
        <v>65</v>
      </c>
      <c r="G78">
        <v>100000</v>
      </c>
      <c r="H78">
        <v>50140</v>
      </c>
      <c r="I78">
        <v>49860</v>
      </c>
      <c r="J78">
        <v>415080</v>
      </c>
      <c r="K78">
        <v>414246</v>
      </c>
      <c r="L78">
        <v>0.50139999999999996</v>
      </c>
      <c r="M78">
        <v>4.1508000000000003</v>
      </c>
      <c r="N78">
        <v>4.1424599999999998</v>
      </c>
      <c r="O78">
        <v>0.3148199999999941</v>
      </c>
      <c r="P78">
        <v>2.1443400000000192</v>
      </c>
    </row>
    <row r="79" spans="1:16" x14ac:dyDescent="0.5">
      <c r="A79" t="s">
        <v>246</v>
      </c>
      <c r="B79" t="s">
        <v>314</v>
      </c>
      <c r="C79">
        <v>50</v>
      </c>
      <c r="D79">
        <v>50</v>
      </c>
      <c r="E79">
        <v>70</v>
      </c>
      <c r="G79">
        <v>100000</v>
      </c>
      <c r="H79">
        <v>50351</v>
      </c>
      <c r="I79">
        <v>49649</v>
      </c>
      <c r="J79">
        <v>414708</v>
      </c>
      <c r="K79">
        <v>410973</v>
      </c>
      <c r="L79">
        <v>0.50351000000000001</v>
      </c>
      <c r="M79">
        <v>4.1470799999999999</v>
      </c>
      <c r="N79">
        <v>4.1097299999999999</v>
      </c>
      <c r="O79">
        <v>0.65664000000000322</v>
      </c>
      <c r="P79">
        <v>7.4466000000000072</v>
      </c>
    </row>
    <row r="80" spans="1:16" x14ac:dyDescent="0.5">
      <c r="A80" t="s">
        <v>247</v>
      </c>
      <c r="B80" t="s">
        <v>292</v>
      </c>
      <c r="C80">
        <v>20</v>
      </c>
      <c r="D80">
        <v>20</v>
      </c>
      <c r="E80">
        <v>20</v>
      </c>
      <c r="G80">
        <v>100000</v>
      </c>
      <c r="H80">
        <v>48995</v>
      </c>
      <c r="I80">
        <v>51005</v>
      </c>
      <c r="J80">
        <v>415635</v>
      </c>
      <c r="K80">
        <v>425041</v>
      </c>
      <c r="L80">
        <v>0.48995</v>
      </c>
      <c r="M80">
        <v>4.1563499999999998</v>
      </c>
      <c r="N80">
        <v>4.2504099999999996</v>
      </c>
      <c r="O80">
        <v>-1.5400799999999994</v>
      </c>
      <c r="P80">
        <v>-15.343559999999943</v>
      </c>
    </row>
    <row r="81" spans="1:16" x14ac:dyDescent="0.5">
      <c r="A81" t="s">
        <v>247</v>
      </c>
      <c r="B81" t="s">
        <v>179</v>
      </c>
      <c r="C81">
        <v>80</v>
      </c>
      <c r="D81">
        <v>80</v>
      </c>
      <c r="E81">
        <v>80</v>
      </c>
      <c r="G81">
        <v>100000</v>
      </c>
      <c r="H81">
        <v>51401</v>
      </c>
      <c r="I81">
        <v>48599</v>
      </c>
      <c r="J81">
        <v>415760</v>
      </c>
      <c r="K81">
        <v>403332</v>
      </c>
      <c r="L81">
        <v>0.51400999999999997</v>
      </c>
      <c r="M81">
        <v>4.1576000000000004</v>
      </c>
      <c r="N81">
        <v>4.0333199999999998</v>
      </c>
      <c r="O81">
        <v>2.3576399999999955</v>
      </c>
      <c r="P81">
        <v>19.825020000000023</v>
      </c>
    </row>
    <row r="82" spans="1:16" x14ac:dyDescent="0.5">
      <c r="A82" t="s">
        <v>247</v>
      </c>
      <c r="B82" t="s">
        <v>301</v>
      </c>
      <c r="C82">
        <v>20</v>
      </c>
      <c r="D82">
        <v>50</v>
      </c>
      <c r="E82">
        <v>50</v>
      </c>
      <c r="G82">
        <v>100000</v>
      </c>
      <c r="H82">
        <v>49118</v>
      </c>
      <c r="I82">
        <v>50882</v>
      </c>
      <c r="J82">
        <v>415971</v>
      </c>
      <c r="K82">
        <v>424014</v>
      </c>
      <c r="L82">
        <v>0.49118000000000001</v>
      </c>
      <c r="M82">
        <v>4.1597099999999996</v>
      </c>
      <c r="N82">
        <v>4.2401400000000002</v>
      </c>
      <c r="O82">
        <v>-1.3408199999999981</v>
      </c>
      <c r="P82">
        <v>-13.679820000000051</v>
      </c>
    </row>
    <row r="83" spans="1:16" x14ac:dyDescent="0.5">
      <c r="A83" t="s">
        <v>247</v>
      </c>
      <c r="B83" t="s">
        <v>302</v>
      </c>
      <c r="C83">
        <v>40</v>
      </c>
      <c r="D83">
        <v>50</v>
      </c>
      <c r="E83">
        <v>50</v>
      </c>
      <c r="G83">
        <v>100000</v>
      </c>
      <c r="H83">
        <v>49379</v>
      </c>
      <c r="I83">
        <v>50621</v>
      </c>
      <c r="J83">
        <v>415708</v>
      </c>
      <c r="K83">
        <v>421856</v>
      </c>
      <c r="L83">
        <v>0.49379000000000001</v>
      </c>
      <c r="M83">
        <v>4.1570799999999997</v>
      </c>
      <c r="N83">
        <v>4.2185600000000001</v>
      </c>
      <c r="O83">
        <v>-0.91799999999999782</v>
      </c>
      <c r="P83">
        <v>-10.183860000000026</v>
      </c>
    </row>
    <row r="84" spans="1:16" x14ac:dyDescent="0.5">
      <c r="A84" t="s">
        <v>247</v>
      </c>
      <c r="B84" t="s">
        <v>303</v>
      </c>
      <c r="C84">
        <v>45</v>
      </c>
      <c r="D84">
        <v>50</v>
      </c>
      <c r="E84">
        <v>50</v>
      </c>
      <c r="G84">
        <v>100000</v>
      </c>
      <c r="H84">
        <v>49509</v>
      </c>
      <c r="I84">
        <v>50491</v>
      </c>
      <c r="J84">
        <v>415432</v>
      </c>
      <c r="K84">
        <v>418746</v>
      </c>
      <c r="L84">
        <v>0.49508999999999997</v>
      </c>
      <c r="M84">
        <v>4.1543200000000002</v>
      </c>
      <c r="N84">
        <v>4.1874599999999997</v>
      </c>
      <c r="O84">
        <v>-0.70740000000000303</v>
      </c>
      <c r="P84">
        <v>-5.1456599999999693</v>
      </c>
    </row>
    <row r="85" spans="1:16" x14ac:dyDescent="0.5">
      <c r="A85" t="s">
        <v>247</v>
      </c>
      <c r="B85" t="s">
        <v>304</v>
      </c>
      <c r="C85">
        <v>55</v>
      </c>
      <c r="D85">
        <v>50</v>
      </c>
      <c r="E85">
        <v>50</v>
      </c>
      <c r="G85">
        <v>100000</v>
      </c>
      <c r="H85">
        <v>51117</v>
      </c>
      <c r="I85">
        <v>48883</v>
      </c>
      <c r="J85">
        <v>416763</v>
      </c>
      <c r="K85">
        <v>404393</v>
      </c>
      <c r="L85">
        <v>0.51117000000000001</v>
      </c>
      <c r="M85">
        <v>4.1676299999999999</v>
      </c>
      <c r="N85">
        <v>4.0439299999999996</v>
      </c>
      <c r="O85">
        <v>1.8975600000000032</v>
      </c>
      <c r="P85">
        <v>18.106200000000058</v>
      </c>
    </row>
    <row r="86" spans="1:16" x14ac:dyDescent="0.5">
      <c r="A86" t="s">
        <v>247</v>
      </c>
      <c r="B86" t="s">
        <v>305</v>
      </c>
      <c r="C86">
        <v>60</v>
      </c>
      <c r="D86">
        <v>50</v>
      </c>
      <c r="E86">
        <v>50</v>
      </c>
      <c r="G86">
        <v>100000</v>
      </c>
      <c r="H86">
        <v>51073</v>
      </c>
      <c r="I86">
        <v>48927</v>
      </c>
      <c r="J86">
        <v>416309</v>
      </c>
      <c r="K86">
        <v>405076</v>
      </c>
      <c r="L86">
        <v>0.51073000000000002</v>
      </c>
      <c r="M86">
        <v>4.1630900000000004</v>
      </c>
      <c r="N86">
        <v>4.0507600000000004</v>
      </c>
      <c r="O86">
        <v>1.8262800000000039</v>
      </c>
      <c r="P86">
        <v>16.999739999999932</v>
      </c>
    </row>
    <row r="87" spans="1:16" x14ac:dyDescent="0.5">
      <c r="A87" t="s">
        <v>247</v>
      </c>
      <c r="B87" t="s">
        <v>306</v>
      </c>
      <c r="C87">
        <v>65</v>
      </c>
      <c r="D87">
        <v>50</v>
      </c>
      <c r="E87">
        <v>50</v>
      </c>
      <c r="G87">
        <v>100000</v>
      </c>
      <c r="H87">
        <v>50949</v>
      </c>
      <c r="I87">
        <v>49051</v>
      </c>
      <c r="J87">
        <v>414787</v>
      </c>
      <c r="K87">
        <v>405568</v>
      </c>
      <c r="L87">
        <v>0.50949</v>
      </c>
      <c r="M87">
        <v>4.1478700000000002</v>
      </c>
      <c r="N87">
        <v>4.0556799999999997</v>
      </c>
      <c r="O87">
        <v>1.6254000000000008</v>
      </c>
      <c r="P87">
        <v>16.202700000000032</v>
      </c>
    </row>
    <row r="88" spans="1:16" x14ac:dyDescent="0.5">
      <c r="A88" t="s">
        <v>247</v>
      </c>
      <c r="B88" t="s">
        <v>307</v>
      </c>
      <c r="C88">
        <v>70</v>
      </c>
      <c r="D88">
        <v>50</v>
      </c>
      <c r="E88">
        <v>50</v>
      </c>
      <c r="G88">
        <v>100000</v>
      </c>
      <c r="H88">
        <v>50907</v>
      </c>
      <c r="I88">
        <v>49093</v>
      </c>
      <c r="J88">
        <v>415492</v>
      </c>
      <c r="K88">
        <v>406302</v>
      </c>
      <c r="L88">
        <v>0.50907000000000002</v>
      </c>
      <c r="M88">
        <v>4.1549199999999997</v>
      </c>
      <c r="N88">
        <v>4.0630199999999999</v>
      </c>
      <c r="O88">
        <v>1.5573600000000047</v>
      </c>
      <c r="P88">
        <v>15.013620000000012</v>
      </c>
    </row>
    <row r="89" spans="1:16" x14ac:dyDescent="0.5">
      <c r="A89" t="s">
        <v>247</v>
      </c>
      <c r="B89" t="s">
        <v>308</v>
      </c>
      <c r="C89">
        <v>80</v>
      </c>
      <c r="D89">
        <v>50</v>
      </c>
      <c r="E89">
        <v>50</v>
      </c>
      <c r="G89">
        <v>100000</v>
      </c>
      <c r="H89">
        <v>50813</v>
      </c>
      <c r="I89">
        <v>49187</v>
      </c>
      <c r="J89">
        <v>415310</v>
      </c>
      <c r="K89">
        <v>406822</v>
      </c>
      <c r="L89">
        <v>0.50812999999999997</v>
      </c>
      <c r="M89">
        <v>4.1531000000000002</v>
      </c>
      <c r="N89">
        <v>4.0682200000000002</v>
      </c>
      <c r="O89">
        <v>1.4050799999999963</v>
      </c>
      <c r="P89">
        <v>14.171219999999961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BB299-6880-4633-94F9-ED5FAD318E03}">
  <dimension ref="A1:O18"/>
  <sheetViews>
    <sheetView zoomScale="145" zoomScaleNormal="145" workbookViewId="0">
      <selection activeCell="I13" sqref="I13"/>
    </sheetView>
  </sheetViews>
  <sheetFormatPr defaultRowHeight="14.35" x14ac:dyDescent="0.5"/>
  <cols>
    <col min="1" max="1" width="2.76171875" bestFit="1" customWidth="1"/>
    <col min="2" max="2" width="9.76171875" bestFit="1" customWidth="1"/>
    <col min="3" max="3" width="11.46875" bestFit="1" customWidth="1"/>
    <col min="4" max="4" width="15.1171875" bestFit="1" customWidth="1"/>
    <col min="5" max="5" width="9.41015625" bestFit="1" customWidth="1"/>
    <col min="6" max="6" width="9.703125" bestFit="1" customWidth="1"/>
    <col min="7" max="7" width="7" bestFit="1" customWidth="1"/>
    <col min="8" max="8" width="13.29296875" bestFit="1" customWidth="1"/>
    <col min="9" max="9" width="7" bestFit="1" customWidth="1"/>
    <col min="10" max="10" width="5.3515625" bestFit="1" customWidth="1"/>
    <col min="11" max="11" width="5.5859375" bestFit="1" customWidth="1"/>
    <col min="12" max="12" width="6.3515625" bestFit="1" customWidth="1"/>
    <col min="13" max="13" width="4.1171875" bestFit="1" customWidth="1"/>
    <col min="14" max="14" width="6.64453125" bestFit="1" customWidth="1"/>
    <col min="15" max="15" width="6.41015625" bestFit="1" customWidth="1"/>
  </cols>
  <sheetData>
    <row r="1" spans="1:15" x14ac:dyDescent="0.5">
      <c r="I1" t="s">
        <v>232</v>
      </c>
      <c r="J1" t="s">
        <v>233</v>
      </c>
      <c r="K1" t="s">
        <v>234</v>
      </c>
      <c r="L1" t="s">
        <v>235</v>
      </c>
      <c r="M1" t="s">
        <v>220</v>
      </c>
      <c r="N1" t="s">
        <v>223</v>
      </c>
      <c r="O1" t="s">
        <v>222</v>
      </c>
    </row>
    <row r="2" spans="1:15" x14ac:dyDescent="0.5">
      <c r="H2" t="s">
        <v>231</v>
      </c>
      <c r="I2">
        <v>275</v>
      </c>
      <c r="J2">
        <v>290</v>
      </c>
      <c r="K2">
        <v>297</v>
      </c>
      <c r="L2">
        <v>304</v>
      </c>
      <c r="M2">
        <v>397</v>
      </c>
      <c r="N2">
        <v>398</v>
      </c>
      <c r="O2">
        <v>390</v>
      </c>
    </row>
    <row r="5" spans="1:15" x14ac:dyDescent="0.5">
      <c r="B5" t="s">
        <v>63</v>
      </c>
      <c r="C5" t="s">
        <v>143</v>
      </c>
      <c r="D5" t="s">
        <v>237</v>
      </c>
      <c r="E5" t="s">
        <v>229</v>
      </c>
      <c r="F5" t="s">
        <v>230</v>
      </c>
      <c r="G5" t="s">
        <v>232</v>
      </c>
    </row>
    <row r="6" spans="1:15" x14ac:dyDescent="0.5">
      <c r="A6">
        <v>20</v>
      </c>
      <c r="B6">
        <v>75</v>
      </c>
      <c r="C6">
        <v>5</v>
      </c>
      <c r="D6" s="3">
        <f>AVERAGE(E6:F6)</f>
        <v>75</v>
      </c>
      <c r="E6">
        <v>1</v>
      </c>
      <c r="F6">
        <v>149</v>
      </c>
    </row>
    <row r="7" spans="1:15" x14ac:dyDescent="0.5">
      <c r="A7">
        <v>25</v>
      </c>
      <c r="B7">
        <v>173</v>
      </c>
      <c r="C7">
        <v>17.5</v>
      </c>
      <c r="D7" s="3">
        <f t="shared" ref="D7:D18" si="0">AVERAGE(E7:F7)</f>
        <v>173</v>
      </c>
      <c r="E7">
        <v>150</v>
      </c>
      <c r="F7">
        <v>196</v>
      </c>
    </row>
    <row r="8" spans="1:15" x14ac:dyDescent="0.5">
      <c r="A8">
        <v>30</v>
      </c>
      <c r="B8">
        <v>222</v>
      </c>
      <c r="C8">
        <v>34</v>
      </c>
      <c r="D8" s="3">
        <f t="shared" si="0"/>
        <v>222</v>
      </c>
      <c r="E8">
        <v>197</v>
      </c>
      <c r="F8">
        <v>247</v>
      </c>
    </row>
    <row r="9" spans="1:15" x14ac:dyDescent="0.5">
      <c r="A9">
        <v>35</v>
      </c>
      <c r="B9">
        <v>274</v>
      </c>
      <c r="C9">
        <v>51</v>
      </c>
      <c r="D9" s="3">
        <f t="shared" si="0"/>
        <v>273</v>
      </c>
      <c r="E9">
        <v>248</v>
      </c>
      <c r="F9">
        <v>298</v>
      </c>
    </row>
    <row r="10" spans="1:15" x14ac:dyDescent="0.5">
      <c r="A10">
        <v>40</v>
      </c>
      <c r="B10">
        <v>325</v>
      </c>
      <c r="C10">
        <v>67.5</v>
      </c>
      <c r="D10" s="3">
        <f t="shared" si="0"/>
        <v>324.5</v>
      </c>
      <c r="E10">
        <v>299</v>
      </c>
      <c r="F10">
        <v>350</v>
      </c>
    </row>
    <row r="11" spans="1:15" x14ac:dyDescent="0.5">
      <c r="A11">
        <v>45</v>
      </c>
      <c r="B11">
        <v>367</v>
      </c>
      <c r="C11">
        <v>84</v>
      </c>
      <c r="D11" s="3">
        <f t="shared" si="0"/>
        <v>367.5</v>
      </c>
      <c r="E11">
        <v>351</v>
      </c>
      <c r="F11">
        <v>384</v>
      </c>
    </row>
    <row r="12" spans="1:15" x14ac:dyDescent="0.5">
      <c r="A12">
        <v>50</v>
      </c>
      <c r="B12">
        <v>397</v>
      </c>
      <c r="C12">
        <v>101</v>
      </c>
      <c r="D12" s="3">
        <f t="shared" si="0"/>
        <v>397</v>
      </c>
      <c r="E12">
        <v>385</v>
      </c>
      <c r="F12">
        <v>409</v>
      </c>
      <c r="G12" s="3">
        <f>AVERAGE(H12:I12)</f>
        <v>347.5</v>
      </c>
      <c r="H12">
        <v>335</v>
      </c>
      <c r="I12">
        <v>360</v>
      </c>
    </row>
    <row r="13" spans="1:15" x14ac:dyDescent="0.5">
      <c r="A13">
        <v>55</v>
      </c>
      <c r="B13">
        <v>418</v>
      </c>
      <c r="C13">
        <v>118</v>
      </c>
      <c r="D13" s="3">
        <f t="shared" si="0"/>
        <v>418</v>
      </c>
      <c r="E13">
        <v>410</v>
      </c>
      <c r="F13">
        <v>426</v>
      </c>
      <c r="G13" s="3">
        <f>AVERAGE(H13:I13)</f>
        <v>336</v>
      </c>
      <c r="H13">
        <v>321</v>
      </c>
      <c r="I13">
        <v>351</v>
      </c>
    </row>
    <row r="14" spans="1:15" x14ac:dyDescent="0.5">
      <c r="A14">
        <v>60</v>
      </c>
      <c r="B14">
        <v>435</v>
      </c>
      <c r="C14">
        <v>134.5</v>
      </c>
      <c r="D14" s="3">
        <f t="shared" si="0"/>
        <v>434.5</v>
      </c>
      <c r="E14">
        <v>427</v>
      </c>
      <c r="F14">
        <v>442</v>
      </c>
      <c r="G14">
        <f>AVERAGE(H14:I14)</f>
        <v>371.5</v>
      </c>
      <c r="H14">
        <v>355</v>
      </c>
      <c r="I14">
        <v>388</v>
      </c>
    </row>
    <row r="15" spans="1:15" x14ac:dyDescent="0.5">
      <c r="A15">
        <v>65</v>
      </c>
      <c r="B15">
        <v>451</v>
      </c>
      <c r="C15">
        <v>151</v>
      </c>
      <c r="D15" s="3">
        <f t="shared" si="0"/>
        <v>451</v>
      </c>
      <c r="E15">
        <v>443</v>
      </c>
      <c r="F15">
        <v>459</v>
      </c>
    </row>
    <row r="16" spans="1:15" x14ac:dyDescent="0.5">
      <c r="A16">
        <v>70</v>
      </c>
      <c r="B16">
        <v>468</v>
      </c>
      <c r="C16">
        <v>167.5</v>
      </c>
      <c r="D16" s="3">
        <f t="shared" si="0"/>
        <v>467.5</v>
      </c>
      <c r="E16">
        <v>460</v>
      </c>
      <c r="F16">
        <v>475</v>
      </c>
    </row>
    <row r="17" spans="1:6" x14ac:dyDescent="0.5">
      <c r="A17">
        <v>75</v>
      </c>
      <c r="B17">
        <v>484</v>
      </c>
      <c r="C17">
        <v>184</v>
      </c>
      <c r="D17" s="3">
        <f t="shared" si="0"/>
        <v>484</v>
      </c>
      <c r="E17">
        <v>476</v>
      </c>
      <c r="F17">
        <v>492</v>
      </c>
    </row>
    <row r="18" spans="1:6" x14ac:dyDescent="0.5">
      <c r="A18">
        <v>80</v>
      </c>
      <c r="B18">
        <v>505</v>
      </c>
      <c r="C18">
        <v>196.5</v>
      </c>
      <c r="D18" s="3">
        <f t="shared" si="0"/>
        <v>505.5</v>
      </c>
      <c r="E18">
        <v>493</v>
      </c>
      <c r="F18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Fielding (2)</vt:lpstr>
      <vt:lpstr>Calculator</vt:lpstr>
      <vt:lpstr>Hitters</vt:lpstr>
      <vt:lpstr>Fielding</vt:lpstr>
      <vt:lpstr>Fielding recal</vt:lpstr>
      <vt:lpstr>Pitching</vt:lpstr>
      <vt:lpstr>Sheet4</vt:lpstr>
      <vt:lpstr>Sheet5</vt:lpstr>
      <vt:lpstr>Sheet6</vt:lpstr>
      <vt:lpstr>Sheet7</vt:lpstr>
      <vt:lpstr>Rating Scales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Wearmouth</dc:creator>
  <cp:lastModifiedBy>Stephen Wearmouth</cp:lastModifiedBy>
  <dcterms:created xsi:type="dcterms:W3CDTF">2026-04-21T15:23:52Z</dcterms:created>
  <dcterms:modified xsi:type="dcterms:W3CDTF">2026-05-09T23:28:59Z</dcterms:modified>
</cp:coreProperties>
</file>